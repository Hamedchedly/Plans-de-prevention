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indows\TEMP\"/>
    </mc:Choice>
  </mc:AlternateContent>
  <bookViews>
    <workbookView xWindow="0" yWindow="0" windowWidth="15360" windowHeight="10545"/>
  </bookViews>
  <sheets>
    <sheet name="3D30F5BD-FDD1-467D-BAE4-C640FEF" sheetId="1" r:id="rId1"/>
  </sheets>
  <calcPr calcId="0"/>
</workbook>
</file>

<file path=xl/calcChain.xml><?xml version="1.0" encoding="utf-8"?>
<calcChain xmlns="http://schemas.openxmlformats.org/spreadsheetml/2006/main">
  <c r="A2" i="1" l="1"/>
  <c r="C2" i="1"/>
  <c r="A3" i="1"/>
  <c r="C3" i="1"/>
  <c r="A4" i="1"/>
  <c r="C4" i="1"/>
  <c r="A5" i="1"/>
  <c r="C5" i="1"/>
  <c r="A7" i="1"/>
  <c r="C7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27" i="1"/>
  <c r="C27" i="1"/>
  <c r="A28" i="1"/>
  <c r="C28" i="1"/>
  <c r="A29" i="1"/>
  <c r="C29" i="1"/>
  <c r="A30" i="1"/>
  <c r="C30" i="1"/>
  <c r="A31" i="1"/>
  <c r="C31" i="1"/>
  <c r="A32" i="1"/>
  <c r="C32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A47" i="1"/>
  <c r="C47" i="1"/>
  <c r="A48" i="1"/>
  <c r="C48" i="1"/>
  <c r="A49" i="1"/>
  <c r="C49" i="1"/>
  <c r="A50" i="1"/>
  <c r="C50" i="1"/>
  <c r="A51" i="1"/>
  <c r="C51" i="1"/>
  <c r="A52" i="1"/>
  <c r="C52" i="1"/>
  <c r="A53" i="1"/>
  <c r="C53" i="1"/>
  <c r="A54" i="1"/>
  <c r="C54" i="1"/>
  <c r="A55" i="1"/>
  <c r="C55" i="1"/>
  <c r="A56" i="1"/>
  <c r="C56" i="1"/>
  <c r="A57" i="1"/>
  <c r="C57" i="1"/>
  <c r="A58" i="1"/>
  <c r="C58" i="1"/>
  <c r="A60" i="1"/>
  <c r="C60" i="1"/>
  <c r="A63" i="1"/>
  <c r="C63" i="1"/>
  <c r="A64" i="1"/>
  <c r="C64" i="1"/>
  <c r="A65" i="1"/>
  <c r="C65" i="1"/>
  <c r="A66" i="1"/>
  <c r="C66" i="1"/>
  <c r="A69" i="1"/>
  <c r="C69" i="1"/>
  <c r="A70" i="1"/>
  <c r="C70" i="1"/>
  <c r="A71" i="1"/>
  <c r="C71" i="1"/>
  <c r="A72" i="1"/>
  <c r="C72" i="1"/>
  <c r="A73" i="1"/>
  <c r="C73" i="1"/>
  <c r="A74" i="1"/>
  <c r="C74" i="1"/>
  <c r="A75" i="1"/>
  <c r="C75" i="1"/>
  <c r="A76" i="1"/>
  <c r="C76" i="1"/>
  <c r="A77" i="1"/>
  <c r="C77" i="1"/>
  <c r="A78" i="1"/>
  <c r="C78" i="1"/>
  <c r="A79" i="1"/>
  <c r="C79" i="1"/>
  <c r="A80" i="1"/>
  <c r="C80" i="1"/>
  <c r="A81" i="1"/>
  <c r="C81" i="1"/>
  <c r="A82" i="1"/>
  <c r="C82" i="1"/>
  <c r="A83" i="1"/>
  <c r="C83" i="1"/>
  <c r="A84" i="1"/>
  <c r="C84" i="1"/>
  <c r="A90" i="1"/>
  <c r="C90" i="1"/>
  <c r="A91" i="1"/>
  <c r="C91" i="1"/>
  <c r="A92" i="1"/>
  <c r="C92" i="1"/>
  <c r="A93" i="1"/>
  <c r="C93" i="1"/>
  <c r="A94" i="1"/>
  <c r="C94" i="1"/>
  <c r="A95" i="1"/>
  <c r="C95" i="1"/>
  <c r="A97" i="1"/>
  <c r="C97" i="1"/>
  <c r="A98" i="1"/>
  <c r="C98" i="1"/>
  <c r="A99" i="1"/>
  <c r="C99" i="1"/>
  <c r="A100" i="1"/>
  <c r="C100" i="1"/>
  <c r="A101" i="1"/>
  <c r="C101" i="1"/>
  <c r="A102" i="1"/>
  <c r="C102" i="1"/>
  <c r="A103" i="1"/>
  <c r="C103" i="1"/>
  <c r="A104" i="1"/>
  <c r="C104" i="1"/>
  <c r="A105" i="1"/>
  <c r="C105" i="1"/>
  <c r="A106" i="1"/>
  <c r="C106" i="1"/>
  <c r="A107" i="1"/>
  <c r="C107" i="1"/>
  <c r="A108" i="1"/>
  <c r="C108" i="1"/>
  <c r="A109" i="1"/>
  <c r="C109" i="1"/>
  <c r="A110" i="1"/>
  <c r="C110" i="1"/>
  <c r="A111" i="1"/>
  <c r="C111" i="1"/>
  <c r="A112" i="1"/>
  <c r="C112" i="1"/>
  <c r="A113" i="1"/>
  <c r="C113" i="1"/>
  <c r="A114" i="1"/>
  <c r="C114" i="1"/>
  <c r="A115" i="1"/>
  <c r="C115" i="1"/>
  <c r="A116" i="1"/>
  <c r="C116" i="1"/>
  <c r="A117" i="1"/>
  <c r="C117" i="1"/>
  <c r="A118" i="1"/>
  <c r="C118" i="1"/>
  <c r="A119" i="1"/>
  <c r="C119" i="1"/>
  <c r="A120" i="1"/>
  <c r="C120" i="1"/>
  <c r="A124" i="1"/>
  <c r="C124" i="1"/>
  <c r="A125" i="1"/>
  <c r="C125" i="1"/>
  <c r="A126" i="1"/>
  <c r="C126" i="1"/>
  <c r="A127" i="1"/>
  <c r="C127" i="1"/>
  <c r="A128" i="1"/>
  <c r="C128" i="1"/>
  <c r="A129" i="1"/>
  <c r="C129" i="1"/>
  <c r="A130" i="1"/>
  <c r="C130" i="1"/>
  <c r="A131" i="1"/>
  <c r="C131" i="1"/>
  <c r="A132" i="1"/>
  <c r="C132" i="1"/>
  <c r="A133" i="1"/>
  <c r="C133" i="1"/>
  <c r="A134" i="1"/>
  <c r="C134" i="1"/>
  <c r="A135" i="1"/>
  <c r="C135" i="1"/>
  <c r="A136" i="1"/>
  <c r="C136" i="1"/>
  <c r="A137" i="1"/>
  <c r="C137" i="1"/>
  <c r="A138" i="1"/>
  <c r="C138" i="1"/>
  <c r="A139" i="1"/>
  <c r="C139" i="1"/>
  <c r="A140" i="1"/>
  <c r="C140" i="1"/>
  <c r="A141" i="1"/>
  <c r="C141" i="1"/>
  <c r="A142" i="1"/>
  <c r="C142" i="1"/>
  <c r="A143" i="1"/>
  <c r="C143" i="1"/>
  <c r="A144" i="1"/>
  <c r="C144" i="1"/>
  <c r="A145" i="1"/>
  <c r="C145" i="1"/>
  <c r="A146" i="1"/>
  <c r="C146" i="1"/>
  <c r="A147" i="1"/>
  <c r="C147" i="1"/>
  <c r="A148" i="1"/>
  <c r="C148" i="1"/>
  <c r="A149" i="1"/>
  <c r="C149" i="1"/>
  <c r="A150" i="1"/>
  <c r="C150" i="1"/>
  <c r="A151" i="1"/>
  <c r="C151" i="1"/>
  <c r="A152" i="1"/>
  <c r="C152" i="1"/>
  <c r="A153" i="1"/>
  <c r="C153" i="1"/>
  <c r="A154" i="1"/>
  <c r="C154" i="1"/>
  <c r="A155" i="1"/>
  <c r="C155" i="1"/>
  <c r="A156" i="1"/>
  <c r="C156" i="1"/>
  <c r="A157" i="1"/>
  <c r="C157" i="1"/>
  <c r="A158" i="1"/>
  <c r="C158" i="1"/>
  <c r="A159" i="1"/>
  <c r="C159" i="1"/>
  <c r="A160" i="1"/>
  <c r="C160" i="1"/>
  <c r="A161" i="1"/>
  <c r="C161" i="1"/>
  <c r="A162" i="1"/>
  <c r="C162" i="1"/>
  <c r="A163" i="1"/>
  <c r="C163" i="1"/>
  <c r="A164" i="1"/>
  <c r="C164" i="1"/>
  <c r="A165" i="1"/>
  <c r="C165" i="1"/>
  <c r="A166" i="1"/>
  <c r="C166" i="1"/>
  <c r="A167" i="1"/>
  <c r="C167" i="1"/>
  <c r="A168" i="1"/>
  <c r="C168" i="1"/>
  <c r="A169" i="1"/>
  <c r="C169" i="1"/>
  <c r="A170" i="1"/>
  <c r="C170" i="1"/>
  <c r="A171" i="1"/>
  <c r="C171" i="1"/>
  <c r="A172" i="1"/>
  <c r="C172" i="1"/>
  <c r="A173" i="1"/>
  <c r="C173" i="1"/>
  <c r="A174" i="1"/>
  <c r="C174" i="1"/>
  <c r="A175" i="1"/>
  <c r="C175" i="1"/>
  <c r="A176" i="1"/>
  <c r="C176" i="1"/>
  <c r="A177" i="1"/>
  <c r="C177" i="1"/>
  <c r="A178" i="1"/>
  <c r="C178" i="1"/>
  <c r="A179" i="1"/>
  <c r="C179" i="1"/>
  <c r="A180" i="1"/>
  <c r="C180" i="1"/>
  <c r="A181" i="1"/>
  <c r="C181" i="1"/>
  <c r="A182" i="1"/>
  <c r="C182" i="1"/>
  <c r="A183" i="1"/>
  <c r="C183" i="1"/>
  <c r="A184" i="1"/>
  <c r="C184" i="1"/>
  <c r="A185" i="1"/>
  <c r="C185" i="1"/>
  <c r="A186" i="1"/>
  <c r="C186" i="1"/>
  <c r="A187" i="1"/>
  <c r="C187" i="1"/>
  <c r="A189" i="1"/>
  <c r="C189" i="1"/>
  <c r="A190" i="1"/>
  <c r="C190" i="1"/>
  <c r="A192" i="1"/>
  <c r="C192" i="1"/>
  <c r="A193" i="1"/>
  <c r="C193" i="1"/>
  <c r="A194" i="1"/>
  <c r="C194" i="1"/>
  <c r="A196" i="1"/>
  <c r="C196" i="1"/>
  <c r="A197" i="1"/>
  <c r="C197" i="1"/>
  <c r="A198" i="1"/>
  <c r="C198" i="1"/>
  <c r="A200" i="1"/>
  <c r="C200" i="1"/>
  <c r="A201" i="1"/>
  <c r="C201" i="1"/>
  <c r="A202" i="1"/>
  <c r="C202" i="1"/>
  <c r="A203" i="1"/>
  <c r="C203" i="1"/>
  <c r="A204" i="1"/>
  <c r="C204" i="1"/>
  <c r="A205" i="1"/>
  <c r="C205" i="1"/>
  <c r="A206" i="1"/>
  <c r="C206" i="1"/>
  <c r="A207" i="1"/>
  <c r="C207" i="1"/>
  <c r="A208" i="1"/>
  <c r="C208" i="1"/>
  <c r="A209" i="1"/>
  <c r="C209" i="1"/>
  <c r="A210" i="1"/>
  <c r="C210" i="1"/>
  <c r="A211" i="1"/>
  <c r="C211" i="1"/>
  <c r="A212" i="1"/>
  <c r="C212" i="1"/>
  <c r="A213" i="1"/>
  <c r="C213" i="1"/>
  <c r="A214" i="1"/>
  <c r="C214" i="1"/>
  <c r="A215" i="1"/>
  <c r="C215" i="1"/>
  <c r="A216" i="1"/>
  <c r="C216" i="1"/>
  <c r="A217" i="1"/>
  <c r="C217" i="1"/>
  <c r="A218" i="1"/>
  <c r="C218" i="1"/>
  <c r="A219" i="1"/>
  <c r="C219" i="1"/>
  <c r="A220" i="1"/>
  <c r="C220" i="1"/>
  <c r="A222" i="1"/>
  <c r="C222" i="1"/>
  <c r="A224" i="1"/>
  <c r="C224" i="1"/>
  <c r="A225" i="1"/>
  <c r="C225" i="1"/>
  <c r="A226" i="1"/>
  <c r="C226" i="1"/>
  <c r="A227" i="1"/>
  <c r="C227" i="1"/>
  <c r="A228" i="1"/>
  <c r="C228" i="1"/>
  <c r="A229" i="1"/>
  <c r="C229" i="1"/>
  <c r="A230" i="1"/>
  <c r="C230" i="1"/>
  <c r="A231" i="1"/>
  <c r="C231" i="1"/>
  <c r="A232" i="1"/>
  <c r="C232" i="1"/>
  <c r="A233" i="1"/>
  <c r="C233" i="1"/>
  <c r="A234" i="1"/>
  <c r="C234" i="1"/>
  <c r="A235" i="1"/>
  <c r="C235" i="1"/>
  <c r="A236" i="1"/>
  <c r="C236" i="1"/>
  <c r="A237" i="1"/>
  <c r="C237" i="1"/>
  <c r="A238" i="1"/>
  <c r="C238" i="1"/>
  <c r="A239" i="1"/>
  <c r="C239" i="1"/>
  <c r="A240" i="1"/>
  <c r="C240" i="1"/>
  <c r="A241" i="1"/>
  <c r="C241" i="1"/>
  <c r="A242" i="1"/>
  <c r="C242" i="1"/>
  <c r="A243" i="1"/>
  <c r="C243" i="1"/>
  <c r="A244" i="1"/>
  <c r="C244" i="1"/>
  <c r="A245" i="1"/>
  <c r="C245" i="1"/>
  <c r="A246" i="1"/>
  <c r="C246" i="1"/>
  <c r="A247" i="1"/>
  <c r="C247" i="1"/>
  <c r="A248" i="1"/>
  <c r="C248" i="1"/>
  <c r="A249" i="1"/>
  <c r="C249" i="1"/>
  <c r="A250" i="1"/>
  <c r="C250" i="1"/>
  <c r="A251" i="1"/>
  <c r="C251" i="1"/>
  <c r="A252" i="1"/>
  <c r="C252" i="1"/>
  <c r="A254" i="1"/>
  <c r="C254" i="1"/>
  <c r="A255" i="1"/>
  <c r="C255" i="1"/>
  <c r="A256" i="1"/>
  <c r="C256" i="1"/>
  <c r="A258" i="1"/>
  <c r="C258" i="1"/>
  <c r="A259" i="1"/>
  <c r="C259" i="1"/>
  <c r="A260" i="1"/>
  <c r="C260" i="1"/>
  <c r="A261" i="1"/>
  <c r="C261" i="1"/>
  <c r="A263" i="1"/>
  <c r="C263" i="1"/>
  <c r="A264" i="1"/>
  <c r="C264" i="1"/>
  <c r="A265" i="1"/>
  <c r="C265" i="1"/>
  <c r="A266" i="1"/>
  <c r="C266" i="1"/>
  <c r="A267" i="1"/>
  <c r="C267" i="1"/>
  <c r="A268" i="1"/>
  <c r="C268" i="1"/>
  <c r="A269" i="1"/>
  <c r="C269" i="1"/>
  <c r="A270" i="1"/>
  <c r="C270" i="1"/>
  <c r="A271" i="1"/>
  <c r="C271" i="1"/>
  <c r="A272" i="1"/>
  <c r="C272" i="1"/>
  <c r="A273" i="1"/>
  <c r="C273" i="1"/>
  <c r="A274" i="1"/>
  <c r="C274" i="1"/>
  <c r="A275" i="1"/>
  <c r="C275" i="1"/>
  <c r="A276" i="1"/>
  <c r="C276" i="1"/>
  <c r="A277" i="1"/>
  <c r="C277" i="1"/>
  <c r="A279" i="1"/>
  <c r="C279" i="1"/>
  <c r="A281" i="1"/>
  <c r="C281" i="1"/>
  <c r="A282" i="1"/>
  <c r="C282" i="1"/>
  <c r="A283" i="1"/>
  <c r="C283" i="1"/>
  <c r="A284" i="1"/>
  <c r="C284" i="1"/>
  <c r="A285" i="1"/>
  <c r="C285" i="1"/>
  <c r="A286" i="1"/>
  <c r="C286" i="1"/>
  <c r="A287" i="1"/>
  <c r="C287" i="1"/>
  <c r="A288" i="1"/>
  <c r="C288" i="1"/>
  <c r="A289" i="1"/>
  <c r="C289" i="1"/>
  <c r="A290" i="1"/>
  <c r="C290" i="1"/>
  <c r="A291" i="1"/>
  <c r="C291" i="1"/>
  <c r="A292" i="1"/>
  <c r="C292" i="1"/>
  <c r="A293" i="1"/>
  <c r="C293" i="1"/>
  <c r="A294" i="1"/>
  <c r="C294" i="1"/>
  <c r="A295" i="1"/>
  <c r="C295" i="1"/>
  <c r="A296" i="1"/>
  <c r="C296" i="1"/>
  <c r="A297" i="1"/>
  <c r="C297" i="1"/>
  <c r="A298" i="1"/>
  <c r="C298" i="1"/>
  <c r="A299" i="1"/>
  <c r="C299" i="1"/>
  <c r="A300" i="1"/>
  <c r="C300" i="1"/>
  <c r="A301" i="1"/>
  <c r="C301" i="1"/>
  <c r="A302" i="1"/>
  <c r="C302" i="1"/>
  <c r="A303" i="1"/>
  <c r="C303" i="1"/>
  <c r="A304" i="1"/>
  <c r="C304" i="1"/>
  <c r="A305" i="1"/>
  <c r="C305" i="1"/>
  <c r="A306" i="1"/>
  <c r="C306" i="1"/>
  <c r="A307" i="1"/>
  <c r="C307" i="1"/>
  <c r="A308" i="1"/>
  <c r="C308" i="1"/>
  <c r="A309" i="1"/>
  <c r="C309" i="1"/>
  <c r="A310" i="1"/>
  <c r="C310" i="1"/>
  <c r="A311" i="1"/>
  <c r="C311" i="1"/>
  <c r="A312" i="1"/>
  <c r="C312" i="1"/>
  <c r="A313" i="1"/>
  <c r="C313" i="1"/>
  <c r="A314" i="1"/>
  <c r="C314" i="1"/>
  <c r="A315" i="1"/>
  <c r="C315" i="1"/>
  <c r="A316" i="1"/>
  <c r="C316" i="1"/>
  <c r="A317" i="1"/>
  <c r="C317" i="1"/>
  <c r="A318" i="1"/>
  <c r="C318" i="1"/>
  <c r="A319" i="1"/>
  <c r="C319" i="1"/>
  <c r="A320" i="1"/>
  <c r="C320" i="1"/>
  <c r="A321" i="1"/>
  <c r="C321" i="1"/>
  <c r="A322" i="1"/>
  <c r="C322" i="1"/>
  <c r="A323" i="1"/>
  <c r="C323" i="1"/>
  <c r="A324" i="1"/>
  <c r="C324" i="1"/>
  <c r="A325" i="1"/>
  <c r="C325" i="1"/>
  <c r="A326" i="1"/>
  <c r="C326" i="1"/>
  <c r="A327" i="1"/>
  <c r="C327" i="1"/>
  <c r="A328" i="1"/>
  <c r="C328" i="1"/>
  <c r="A329" i="1"/>
  <c r="C329" i="1"/>
  <c r="A330" i="1"/>
  <c r="C330" i="1"/>
  <c r="A331" i="1"/>
  <c r="C331" i="1"/>
  <c r="A333" i="1"/>
  <c r="C333" i="1"/>
  <c r="A334" i="1"/>
  <c r="C334" i="1"/>
  <c r="A335" i="1"/>
  <c r="C335" i="1"/>
  <c r="A336" i="1"/>
  <c r="C336" i="1"/>
  <c r="A337" i="1"/>
  <c r="C337" i="1"/>
  <c r="A338" i="1"/>
  <c r="C338" i="1"/>
  <c r="A340" i="1"/>
  <c r="C340" i="1"/>
  <c r="A341" i="1"/>
  <c r="C341" i="1"/>
  <c r="A342" i="1"/>
  <c r="C342" i="1"/>
  <c r="A343" i="1"/>
  <c r="C343" i="1"/>
  <c r="A344" i="1"/>
  <c r="C344" i="1"/>
  <c r="A345" i="1"/>
  <c r="C345" i="1"/>
  <c r="A346" i="1"/>
  <c r="C346" i="1"/>
  <c r="A347" i="1"/>
  <c r="C347" i="1"/>
  <c r="A348" i="1"/>
  <c r="C348" i="1"/>
  <c r="A349" i="1"/>
  <c r="C349" i="1"/>
  <c r="A350" i="1"/>
  <c r="C350" i="1"/>
  <c r="A351" i="1"/>
  <c r="C351" i="1"/>
  <c r="A352" i="1"/>
  <c r="C352" i="1"/>
  <c r="A353" i="1"/>
  <c r="C353" i="1"/>
  <c r="A354" i="1"/>
  <c r="C354" i="1"/>
  <c r="A355" i="1"/>
  <c r="C355" i="1"/>
  <c r="A357" i="1"/>
  <c r="C357" i="1"/>
  <c r="A358" i="1"/>
  <c r="C358" i="1"/>
  <c r="A359" i="1"/>
  <c r="C359" i="1"/>
  <c r="A360" i="1"/>
  <c r="C360" i="1"/>
  <c r="A361" i="1"/>
  <c r="C361" i="1"/>
  <c r="A362" i="1"/>
  <c r="C362" i="1"/>
  <c r="A363" i="1"/>
  <c r="C363" i="1"/>
  <c r="A364" i="1"/>
  <c r="C364" i="1"/>
  <c r="A365" i="1"/>
  <c r="C365" i="1"/>
  <c r="A366" i="1"/>
  <c r="C366" i="1"/>
  <c r="A367" i="1"/>
  <c r="C367" i="1"/>
  <c r="A368" i="1"/>
  <c r="C368" i="1"/>
  <c r="A369" i="1"/>
  <c r="C369" i="1"/>
  <c r="A370" i="1"/>
  <c r="C370" i="1"/>
  <c r="A371" i="1"/>
  <c r="C371" i="1"/>
  <c r="A372" i="1"/>
  <c r="C372" i="1"/>
  <c r="A374" i="1"/>
  <c r="C374" i="1"/>
  <c r="A375" i="1"/>
  <c r="C375" i="1"/>
  <c r="A376" i="1"/>
  <c r="C376" i="1"/>
  <c r="A377" i="1"/>
  <c r="C377" i="1"/>
  <c r="A378" i="1"/>
  <c r="C378" i="1"/>
  <c r="A379" i="1"/>
  <c r="C379" i="1"/>
  <c r="A380" i="1"/>
  <c r="C380" i="1"/>
  <c r="A381" i="1"/>
  <c r="C381" i="1"/>
  <c r="A382" i="1"/>
  <c r="C382" i="1"/>
  <c r="A383" i="1"/>
  <c r="C383" i="1"/>
  <c r="A385" i="1"/>
  <c r="C385" i="1"/>
  <c r="A387" i="1"/>
  <c r="C387" i="1"/>
  <c r="A388" i="1"/>
  <c r="C388" i="1"/>
  <c r="A390" i="1"/>
  <c r="C390" i="1"/>
  <c r="A391" i="1"/>
  <c r="C391" i="1"/>
  <c r="A392" i="1"/>
  <c r="C392" i="1"/>
  <c r="A393" i="1"/>
  <c r="C393" i="1"/>
  <c r="A394" i="1"/>
  <c r="C394" i="1"/>
  <c r="A395" i="1"/>
  <c r="C395" i="1"/>
  <c r="A396" i="1"/>
  <c r="C396" i="1"/>
  <c r="A397" i="1"/>
  <c r="C397" i="1"/>
  <c r="A398" i="1"/>
  <c r="C398" i="1"/>
  <c r="A399" i="1"/>
  <c r="C399" i="1"/>
  <c r="A400" i="1"/>
  <c r="C400" i="1"/>
  <c r="A401" i="1"/>
  <c r="C401" i="1"/>
  <c r="A402" i="1"/>
  <c r="C402" i="1"/>
  <c r="A403" i="1"/>
  <c r="C403" i="1"/>
  <c r="A404" i="1"/>
  <c r="C404" i="1"/>
  <c r="A405" i="1"/>
  <c r="C405" i="1"/>
  <c r="A406" i="1"/>
  <c r="C406" i="1"/>
  <c r="A407" i="1"/>
  <c r="C407" i="1"/>
  <c r="A408" i="1"/>
  <c r="C408" i="1"/>
  <c r="A409" i="1"/>
  <c r="C409" i="1"/>
  <c r="A410" i="1"/>
  <c r="C410" i="1"/>
  <c r="A412" i="1"/>
  <c r="C412" i="1"/>
  <c r="A417" i="1"/>
  <c r="C417" i="1"/>
  <c r="A419" i="1"/>
  <c r="C419" i="1"/>
  <c r="A420" i="1"/>
  <c r="C420" i="1"/>
  <c r="A421" i="1"/>
  <c r="C421" i="1"/>
  <c r="A422" i="1"/>
  <c r="C422" i="1"/>
  <c r="A423" i="1"/>
  <c r="C423" i="1"/>
  <c r="A424" i="1"/>
  <c r="C424" i="1"/>
  <c r="A425" i="1"/>
  <c r="C425" i="1"/>
  <c r="A426" i="1"/>
  <c r="C426" i="1"/>
  <c r="A427" i="1"/>
  <c r="C427" i="1"/>
  <c r="A428" i="1"/>
  <c r="C428" i="1"/>
  <c r="A429" i="1"/>
  <c r="C429" i="1"/>
  <c r="A430" i="1"/>
  <c r="C430" i="1"/>
  <c r="A431" i="1"/>
  <c r="C431" i="1"/>
  <c r="A432" i="1"/>
  <c r="C432" i="1"/>
  <c r="A433" i="1"/>
  <c r="C433" i="1"/>
  <c r="A434" i="1"/>
  <c r="C434" i="1"/>
  <c r="A435" i="1"/>
  <c r="C435" i="1"/>
  <c r="A436" i="1"/>
  <c r="C436" i="1"/>
  <c r="A437" i="1"/>
  <c r="C437" i="1"/>
  <c r="A438" i="1"/>
  <c r="C438" i="1"/>
  <c r="A439" i="1"/>
  <c r="C439" i="1"/>
  <c r="A440" i="1"/>
  <c r="C440" i="1"/>
  <c r="A441" i="1"/>
  <c r="C441" i="1"/>
  <c r="A442" i="1"/>
  <c r="C442" i="1"/>
  <c r="A443" i="1"/>
  <c r="C443" i="1"/>
  <c r="A444" i="1"/>
  <c r="C444" i="1"/>
  <c r="A445" i="1"/>
  <c r="C445" i="1"/>
  <c r="A446" i="1"/>
  <c r="C446" i="1"/>
  <c r="A447" i="1"/>
  <c r="C447" i="1"/>
  <c r="A448" i="1"/>
  <c r="C448" i="1"/>
  <c r="A450" i="1"/>
  <c r="C450" i="1"/>
  <c r="A451" i="1"/>
  <c r="C451" i="1"/>
  <c r="A452" i="1"/>
  <c r="C452" i="1"/>
  <c r="A453" i="1"/>
  <c r="C453" i="1"/>
  <c r="A454" i="1"/>
  <c r="C454" i="1"/>
  <c r="A455" i="1"/>
  <c r="C455" i="1"/>
  <c r="A457" i="1"/>
  <c r="C457" i="1"/>
  <c r="A458" i="1"/>
  <c r="C458" i="1"/>
  <c r="A459" i="1"/>
  <c r="C459" i="1"/>
  <c r="A460" i="1"/>
  <c r="C460" i="1"/>
  <c r="A461" i="1"/>
  <c r="C461" i="1"/>
  <c r="A462" i="1"/>
  <c r="C462" i="1"/>
  <c r="A463" i="1"/>
  <c r="C463" i="1"/>
  <c r="A464" i="1"/>
  <c r="C464" i="1"/>
  <c r="A465" i="1"/>
  <c r="C465" i="1"/>
  <c r="A466" i="1"/>
  <c r="C466" i="1"/>
  <c r="A467" i="1"/>
  <c r="C467" i="1"/>
  <c r="A468" i="1"/>
  <c r="C468" i="1"/>
  <c r="A469" i="1"/>
  <c r="C469" i="1"/>
  <c r="A470" i="1"/>
  <c r="C470" i="1"/>
  <c r="A471" i="1"/>
  <c r="C471" i="1"/>
  <c r="A472" i="1"/>
  <c r="C472" i="1"/>
  <c r="A473" i="1"/>
  <c r="C473" i="1"/>
  <c r="A474" i="1"/>
  <c r="C474" i="1"/>
  <c r="A475" i="1"/>
  <c r="C475" i="1"/>
  <c r="A476" i="1"/>
  <c r="C476" i="1"/>
  <c r="A477" i="1"/>
  <c r="C477" i="1"/>
  <c r="A478" i="1"/>
  <c r="C478" i="1"/>
  <c r="A479" i="1"/>
  <c r="C479" i="1"/>
  <c r="A480" i="1"/>
  <c r="C480" i="1"/>
  <c r="A481" i="1"/>
  <c r="C481" i="1"/>
  <c r="A483" i="1"/>
  <c r="C483" i="1"/>
  <c r="A484" i="1"/>
  <c r="C484" i="1"/>
  <c r="A485" i="1"/>
  <c r="C485" i="1"/>
  <c r="A486" i="1"/>
  <c r="C486" i="1"/>
  <c r="A487" i="1"/>
  <c r="C487" i="1"/>
  <c r="A488" i="1"/>
  <c r="C488" i="1"/>
  <c r="A489" i="1"/>
  <c r="C489" i="1"/>
  <c r="A490" i="1"/>
  <c r="C490" i="1"/>
  <c r="A491" i="1"/>
  <c r="C491" i="1"/>
  <c r="A492" i="1"/>
  <c r="C492" i="1"/>
  <c r="A493" i="1"/>
  <c r="C493" i="1"/>
  <c r="A494" i="1"/>
  <c r="C494" i="1"/>
  <c r="A495" i="1"/>
  <c r="C495" i="1"/>
  <c r="A496" i="1"/>
  <c r="C496" i="1"/>
  <c r="A497" i="1"/>
  <c r="C497" i="1"/>
  <c r="A498" i="1"/>
  <c r="C498" i="1"/>
  <c r="A499" i="1"/>
  <c r="C499" i="1"/>
  <c r="A500" i="1"/>
  <c r="C500" i="1"/>
  <c r="A501" i="1"/>
  <c r="C501" i="1"/>
  <c r="A502" i="1"/>
  <c r="C502" i="1"/>
  <c r="A503" i="1"/>
  <c r="C503" i="1"/>
  <c r="A504" i="1"/>
  <c r="C504" i="1"/>
  <c r="A505" i="1"/>
  <c r="C505" i="1"/>
  <c r="A506" i="1"/>
  <c r="C506" i="1"/>
  <c r="A507" i="1"/>
  <c r="C507" i="1"/>
  <c r="A508" i="1"/>
  <c r="C508" i="1"/>
  <c r="A509" i="1"/>
  <c r="C509" i="1"/>
  <c r="A510" i="1"/>
  <c r="C510" i="1"/>
  <c r="A511" i="1"/>
  <c r="C511" i="1"/>
  <c r="A512" i="1"/>
  <c r="C512" i="1"/>
  <c r="A513" i="1"/>
  <c r="C513" i="1"/>
  <c r="A515" i="1"/>
  <c r="C515" i="1"/>
  <c r="A516" i="1"/>
  <c r="C516" i="1"/>
  <c r="A517" i="1"/>
  <c r="C517" i="1"/>
  <c r="A518" i="1"/>
  <c r="C518" i="1"/>
  <c r="A519" i="1"/>
  <c r="C519" i="1"/>
  <c r="A522" i="1"/>
  <c r="C522" i="1"/>
  <c r="A524" i="1"/>
  <c r="C524" i="1"/>
  <c r="A525" i="1"/>
  <c r="C525" i="1"/>
  <c r="A526" i="1"/>
  <c r="C526" i="1"/>
  <c r="A527" i="1"/>
  <c r="C527" i="1"/>
  <c r="A528" i="1"/>
  <c r="C528" i="1"/>
  <c r="A529" i="1"/>
  <c r="C529" i="1"/>
  <c r="A530" i="1"/>
  <c r="C530" i="1"/>
  <c r="A531" i="1"/>
  <c r="C531" i="1"/>
  <c r="A532" i="1"/>
  <c r="C532" i="1"/>
  <c r="A533" i="1"/>
  <c r="C533" i="1"/>
  <c r="A534" i="1"/>
  <c r="C534" i="1"/>
  <c r="A535" i="1"/>
  <c r="C535" i="1"/>
  <c r="A536" i="1"/>
  <c r="C536" i="1"/>
  <c r="A537" i="1"/>
  <c r="C537" i="1"/>
  <c r="A538" i="1"/>
  <c r="C538" i="1"/>
  <c r="A539" i="1"/>
  <c r="C539" i="1"/>
  <c r="A540" i="1"/>
  <c r="C540" i="1"/>
  <c r="A541" i="1"/>
  <c r="C541" i="1"/>
  <c r="A542" i="1"/>
  <c r="C542" i="1"/>
  <c r="A543" i="1"/>
  <c r="C543" i="1"/>
  <c r="A544" i="1"/>
  <c r="C544" i="1"/>
  <c r="A545" i="1"/>
  <c r="C545" i="1"/>
  <c r="A546" i="1"/>
  <c r="C546" i="1"/>
  <c r="A547" i="1"/>
  <c r="C547" i="1"/>
  <c r="A548" i="1"/>
  <c r="C548" i="1"/>
  <c r="A549" i="1"/>
  <c r="C549" i="1"/>
  <c r="A550" i="1"/>
  <c r="C550" i="1"/>
  <c r="A551" i="1"/>
  <c r="C551" i="1"/>
  <c r="A552" i="1"/>
  <c r="C552" i="1"/>
  <c r="A553" i="1"/>
  <c r="C553" i="1"/>
  <c r="A554" i="1"/>
  <c r="C554" i="1"/>
  <c r="A555" i="1"/>
  <c r="C555" i="1"/>
  <c r="A556" i="1"/>
  <c r="C556" i="1"/>
  <c r="A557" i="1"/>
  <c r="C557" i="1"/>
  <c r="A558" i="1"/>
  <c r="C558" i="1"/>
  <c r="A559" i="1"/>
  <c r="C559" i="1"/>
  <c r="A560" i="1"/>
  <c r="C560" i="1"/>
  <c r="A561" i="1"/>
  <c r="C561" i="1"/>
  <c r="A562" i="1"/>
  <c r="C562" i="1"/>
  <c r="A563" i="1"/>
  <c r="C563" i="1"/>
  <c r="A564" i="1"/>
  <c r="C564" i="1"/>
  <c r="A566" i="1"/>
  <c r="C566" i="1"/>
  <c r="A567" i="1"/>
  <c r="C567" i="1"/>
  <c r="A568" i="1"/>
  <c r="C568" i="1"/>
  <c r="A569" i="1"/>
  <c r="C569" i="1"/>
  <c r="A570" i="1"/>
  <c r="C570" i="1"/>
  <c r="A571" i="1"/>
  <c r="C571" i="1"/>
  <c r="A572" i="1"/>
  <c r="C572" i="1"/>
  <c r="A573" i="1"/>
  <c r="C573" i="1"/>
  <c r="A574" i="1"/>
  <c r="C574" i="1"/>
  <c r="A575" i="1"/>
  <c r="C575" i="1"/>
  <c r="A576" i="1"/>
  <c r="C576" i="1"/>
  <c r="A577" i="1"/>
  <c r="C577" i="1"/>
  <c r="A578" i="1"/>
  <c r="C578" i="1"/>
  <c r="A579" i="1"/>
  <c r="C579" i="1"/>
  <c r="A580" i="1"/>
  <c r="C580" i="1"/>
  <c r="A581" i="1"/>
  <c r="C581" i="1"/>
  <c r="A582" i="1"/>
  <c r="C582" i="1"/>
  <c r="A583" i="1"/>
  <c r="C583" i="1"/>
  <c r="A584" i="1"/>
  <c r="C584" i="1"/>
  <c r="A585" i="1"/>
  <c r="C585" i="1"/>
  <c r="A586" i="1"/>
  <c r="C586" i="1"/>
  <c r="A587" i="1"/>
  <c r="C587" i="1"/>
  <c r="A588" i="1"/>
  <c r="C588" i="1"/>
  <c r="A589" i="1"/>
  <c r="C589" i="1"/>
  <c r="A590" i="1"/>
  <c r="C590" i="1"/>
  <c r="A591" i="1"/>
  <c r="C591" i="1"/>
  <c r="A592" i="1"/>
  <c r="C592" i="1"/>
  <c r="A593" i="1"/>
  <c r="C593" i="1"/>
  <c r="A594" i="1"/>
  <c r="C594" i="1"/>
  <c r="A595" i="1"/>
  <c r="C595" i="1"/>
  <c r="A596" i="1"/>
  <c r="C596" i="1"/>
  <c r="A597" i="1"/>
  <c r="C597" i="1"/>
  <c r="A598" i="1"/>
  <c r="C598" i="1"/>
  <c r="A599" i="1"/>
  <c r="C599" i="1"/>
  <c r="A600" i="1"/>
  <c r="C600" i="1"/>
  <c r="A601" i="1"/>
  <c r="C601" i="1"/>
  <c r="A602" i="1"/>
  <c r="C602" i="1"/>
  <c r="A603" i="1"/>
  <c r="C603" i="1"/>
  <c r="A604" i="1"/>
  <c r="C604" i="1"/>
  <c r="A605" i="1"/>
  <c r="C605" i="1"/>
  <c r="A606" i="1"/>
  <c r="C606" i="1"/>
  <c r="A607" i="1"/>
  <c r="C607" i="1"/>
  <c r="A608" i="1"/>
  <c r="C608" i="1"/>
  <c r="A609" i="1"/>
  <c r="C609" i="1"/>
  <c r="A610" i="1"/>
  <c r="C610" i="1"/>
  <c r="A611" i="1"/>
  <c r="C611" i="1"/>
  <c r="A612" i="1"/>
  <c r="C612" i="1"/>
  <c r="A613" i="1"/>
  <c r="C613" i="1"/>
  <c r="A614" i="1"/>
  <c r="C614" i="1"/>
  <c r="A615" i="1"/>
  <c r="C615" i="1"/>
  <c r="A616" i="1"/>
  <c r="C616" i="1"/>
  <c r="A617" i="1"/>
  <c r="C617" i="1"/>
  <c r="A618" i="1"/>
  <c r="C618" i="1"/>
  <c r="A619" i="1"/>
  <c r="C619" i="1"/>
  <c r="A620" i="1"/>
  <c r="C620" i="1"/>
  <c r="A621" i="1"/>
  <c r="C621" i="1"/>
  <c r="A622" i="1"/>
  <c r="C622" i="1"/>
  <c r="A623" i="1"/>
  <c r="C623" i="1"/>
  <c r="A624" i="1"/>
  <c r="C624" i="1"/>
  <c r="A625" i="1"/>
  <c r="C625" i="1"/>
  <c r="A626" i="1"/>
  <c r="C626" i="1"/>
  <c r="A627" i="1"/>
  <c r="C627" i="1"/>
  <c r="A628" i="1"/>
  <c r="C628" i="1"/>
  <c r="A629" i="1"/>
  <c r="C629" i="1"/>
  <c r="A631" i="1"/>
  <c r="C631" i="1"/>
  <c r="A632" i="1"/>
  <c r="C632" i="1"/>
  <c r="A633" i="1"/>
  <c r="C633" i="1"/>
  <c r="A634" i="1"/>
  <c r="C634" i="1"/>
  <c r="A635" i="1"/>
  <c r="C635" i="1"/>
  <c r="A636" i="1"/>
  <c r="C636" i="1"/>
  <c r="A637" i="1"/>
  <c r="C637" i="1"/>
  <c r="A638" i="1"/>
  <c r="C638" i="1"/>
  <c r="A639" i="1"/>
  <c r="C639" i="1"/>
  <c r="A640" i="1"/>
  <c r="C640" i="1"/>
  <c r="A641" i="1"/>
  <c r="C641" i="1"/>
  <c r="A642" i="1"/>
  <c r="C642" i="1"/>
  <c r="A643" i="1"/>
  <c r="C643" i="1"/>
  <c r="A647" i="1"/>
  <c r="C647" i="1"/>
  <c r="A648" i="1"/>
  <c r="C648" i="1"/>
  <c r="A649" i="1"/>
  <c r="C649" i="1"/>
  <c r="A650" i="1"/>
  <c r="C650" i="1"/>
  <c r="A651" i="1"/>
  <c r="C651" i="1"/>
  <c r="A652" i="1"/>
  <c r="C652" i="1"/>
  <c r="A654" i="1"/>
  <c r="C654" i="1"/>
  <c r="A655" i="1"/>
  <c r="C655" i="1"/>
  <c r="A657" i="1"/>
  <c r="C657" i="1"/>
  <c r="A658" i="1"/>
  <c r="C658" i="1"/>
  <c r="A659" i="1"/>
  <c r="C659" i="1"/>
  <c r="A660" i="1"/>
  <c r="C660" i="1"/>
  <c r="A661" i="1"/>
  <c r="C661" i="1"/>
  <c r="A662" i="1"/>
  <c r="C662" i="1"/>
  <c r="A663" i="1"/>
  <c r="C663" i="1"/>
  <c r="A664" i="1"/>
  <c r="C664" i="1"/>
  <c r="A665" i="1"/>
  <c r="C665" i="1"/>
  <c r="A666" i="1"/>
  <c r="C666" i="1"/>
  <c r="A667" i="1"/>
  <c r="C667" i="1"/>
  <c r="A668" i="1"/>
  <c r="C668" i="1"/>
  <c r="A669" i="1"/>
  <c r="C669" i="1"/>
  <c r="A670" i="1"/>
  <c r="C670" i="1"/>
  <c r="A671" i="1"/>
  <c r="C671" i="1"/>
  <c r="A672" i="1"/>
  <c r="C672" i="1"/>
  <c r="A673" i="1"/>
  <c r="C673" i="1"/>
  <c r="A674" i="1"/>
  <c r="C674" i="1"/>
  <c r="A675" i="1"/>
  <c r="C675" i="1"/>
  <c r="A676" i="1"/>
  <c r="C676" i="1"/>
  <c r="A677" i="1"/>
  <c r="C677" i="1"/>
  <c r="A678" i="1"/>
  <c r="C678" i="1"/>
  <c r="A679" i="1"/>
  <c r="C679" i="1"/>
  <c r="A680" i="1"/>
  <c r="C680" i="1"/>
  <c r="A681" i="1"/>
  <c r="C681" i="1"/>
  <c r="A682" i="1"/>
  <c r="C682" i="1"/>
  <c r="A683" i="1"/>
  <c r="C683" i="1"/>
  <c r="A684" i="1"/>
  <c r="C684" i="1"/>
  <c r="A685" i="1"/>
  <c r="C685" i="1"/>
  <c r="A686" i="1"/>
  <c r="C686" i="1"/>
  <c r="A687" i="1"/>
  <c r="C687" i="1"/>
  <c r="A688" i="1"/>
  <c r="C688" i="1"/>
  <c r="A689" i="1"/>
  <c r="C689" i="1"/>
  <c r="A690" i="1"/>
  <c r="C690" i="1"/>
  <c r="A691" i="1"/>
  <c r="C691" i="1"/>
  <c r="A693" i="1"/>
  <c r="C693" i="1"/>
  <c r="A694" i="1"/>
  <c r="C694" i="1"/>
  <c r="A695" i="1"/>
  <c r="C695" i="1"/>
  <c r="A696" i="1"/>
  <c r="C696" i="1"/>
  <c r="A697" i="1"/>
  <c r="C697" i="1"/>
  <c r="A698" i="1"/>
  <c r="C698" i="1"/>
  <c r="A699" i="1"/>
  <c r="C699" i="1"/>
  <c r="A700" i="1"/>
  <c r="C700" i="1"/>
  <c r="A701" i="1"/>
  <c r="C701" i="1"/>
  <c r="A702" i="1"/>
  <c r="C702" i="1"/>
  <c r="A703" i="1"/>
  <c r="C703" i="1"/>
  <c r="A704" i="1"/>
  <c r="C704" i="1"/>
  <c r="A705" i="1"/>
  <c r="C705" i="1"/>
  <c r="A706" i="1"/>
  <c r="C706" i="1"/>
  <c r="A707" i="1"/>
  <c r="C707" i="1"/>
  <c r="A708" i="1"/>
  <c r="C708" i="1"/>
  <c r="A709" i="1"/>
  <c r="C709" i="1"/>
  <c r="A710" i="1"/>
  <c r="C710" i="1"/>
  <c r="A711" i="1"/>
  <c r="C711" i="1"/>
  <c r="A712" i="1"/>
  <c r="C712" i="1"/>
  <c r="A713" i="1"/>
  <c r="C713" i="1"/>
  <c r="A714" i="1"/>
  <c r="C714" i="1"/>
  <c r="A715" i="1"/>
  <c r="C715" i="1"/>
  <c r="A716" i="1"/>
  <c r="C716" i="1"/>
  <c r="A717" i="1"/>
  <c r="C717" i="1"/>
  <c r="A719" i="1"/>
  <c r="C719" i="1"/>
  <c r="A720" i="1"/>
  <c r="C720" i="1"/>
  <c r="A721" i="1"/>
  <c r="C721" i="1"/>
  <c r="A722" i="1"/>
  <c r="C722" i="1"/>
  <c r="A723" i="1"/>
  <c r="C723" i="1"/>
  <c r="A724" i="1"/>
  <c r="C724" i="1"/>
  <c r="A725" i="1"/>
  <c r="C725" i="1"/>
  <c r="A726" i="1"/>
  <c r="C726" i="1"/>
  <c r="A727" i="1"/>
  <c r="C727" i="1"/>
  <c r="A728" i="1"/>
  <c r="C728" i="1"/>
  <c r="A729" i="1"/>
  <c r="C729" i="1"/>
  <c r="A730" i="1"/>
  <c r="C730" i="1"/>
  <c r="A731" i="1"/>
  <c r="C731" i="1"/>
  <c r="A732" i="1"/>
  <c r="C732" i="1"/>
  <c r="A733" i="1"/>
  <c r="C733" i="1"/>
  <c r="A734" i="1"/>
  <c r="C734" i="1"/>
  <c r="A735" i="1"/>
  <c r="C735" i="1"/>
  <c r="A736" i="1"/>
  <c r="C736" i="1"/>
  <c r="A737" i="1"/>
  <c r="C737" i="1"/>
  <c r="A738" i="1"/>
  <c r="C738" i="1"/>
  <c r="A739" i="1"/>
  <c r="C739" i="1"/>
  <c r="A740" i="1"/>
  <c r="C740" i="1"/>
  <c r="A741" i="1"/>
  <c r="C741" i="1"/>
  <c r="A742" i="1"/>
  <c r="C742" i="1"/>
  <c r="A743" i="1"/>
  <c r="C743" i="1"/>
  <c r="A744" i="1"/>
  <c r="C744" i="1"/>
  <c r="A745" i="1"/>
  <c r="C745" i="1"/>
  <c r="A746" i="1"/>
  <c r="C746" i="1"/>
  <c r="A747" i="1"/>
  <c r="C747" i="1"/>
  <c r="A748" i="1"/>
  <c r="C748" i="1"/>
  <c r="A749" i="1"/>
  <c r="C749" i="1"/>
  <c r="A750" i="1"/>
  <c r="C750" i="1"/>
  <c r="A751" i="1"/>
  <c r="C751" i="1"/>
  <c r="A752" i="1"/>
  <c r="C752" i="1"/>
  <c r="A753" i="1"/>
  <c r="C753" i="1"/>
  <c r="A754" i="1"/>
  <c r="C754" i="1"/>
  <c r="A755" i="1"/>
  <c r="C755" i="1"/>
  <c r="A756" i="1"/>
  <c r="C756" i="1"/>
  <c r="A757" i="1"/>
  <c r="C757" i="1"/>
  <c r="A758" i="1"/>
  <c r="C758" i="1"/>
  <c r="A759" i="1"/>
  <c r="C759" i="1"/>
  <c r="A760" i="1"/>
  <c r="C760" i="1"/>
  <c r="A761" i="1"/>
  <c r="C761" i="1"/>
  <c r="A762" i="1"/>
  <c r="C762" i="1"/>
  <c r="A763" i="1"/>
  <c r="C763" i="1"/>
  <c r="A764" i="1"/>
  <c r="C764" i="1"/>
  <c r="A765" i="1"/>
  <c r="C765" i="1"/>
  <c r="A766" i="1"/>
  <c r="C766" i="1"/>
  <c r="A767" i="1"/>
  <c r="C767" i="1"/>
  <c r="A768" i="1"/>
  <c r="C768" i="1"/>
  <c r="A769" i="1"/>
  <c r="C769" i="1"/>
  <c r="A770" i="1"/>
  <c r="C770" i="1"/>
  <c r="A771" i="1"/>
  <c r="C771" i="1"/>
  <c r="A772" i="1"/>
  <c r="C772" i="1"/>
  <c r="A773" i="1"/>
  <c r="C773" i="1"/>
  <c r="A774" i="1"/>
  <c r="C774" i="1"/>
  <c r="A775" i="1"/>
  <c r="C775" i="1"/>
  <c r="A776" i="1"/>
  <c r="C776" i="1"/>
  <c r="A777" i="1"/>
  <c r="C777" i="1"/>
  <c r="A778" i="1"/>
  <c r="C778" i="1"/>
  <c r="A779" i="1"/>
  <c r="C779" i="1"/>
  <c r="A780" i="1"/>
  <c r="C780" i="1"/>
  <c r="A781" i="1"/>
  <c r="C781" i="1"/>
  <c r="A782" i="1"/>
  <c r="C782" i="1"/>
  <c r="A783" i="1"/>
  <c r="C783" i="1"/>
  <c r="A784" i="1"/>
  <c r="C784" i="1"/>
  <c r="A785" i="1"/>
  <c r="C785" i="1"/>
  <c r="A786" i="1"/>
  <c r="C786" i="1"/>
  <c r="A787" i="1"/>
  <c r="C787" i="1"/>
  <c r="A788" i="1"/>
  <c r="C788" i="1"/>
  <c r="A789" i="1"/>
  <c r="C789" i="1"/>
  <c r="A790" i="1"/>
  <c r="C790" i="1"/>
  <c r="A791" i="1"/>
  <c r="C791" i="1"/>
  <c r="A792" i="1"/>
  <c r="C792" i="1"/>
  <c r="A793" i="1"/>
  <c r="C793" i="1"/>
  <c r="A794" i="1"/>
  <c r="C794" i="1"/>
  <c r="A795" i="1"/>
  <c r="C795" i="1"/>
  <c r="A796" i="1"/>
  <c r="C796" i="1"/>
  <c r="A797" i="1"/>
  <c r="C797" i="1"/>
  <c r="A798" i="1"/>
  <c r="C798" i="1"/>
  <c r="A799" i="1"/>
  <c r="C799" i="1"/>
  <c r="A800" i="1"/>
  <c r="C800" i="1"/>
  <c r="A801" i="1"/>
  <c r="C801" i="1"/>
  <c r="A802" i="1"/>
  <c r="C802" i="1"/>
  <c r="A803" i="1"/>
  <c r="C803" i="1"/>
  <c r="A804" i="1"/>
  <c r="C804" i="1"/>
  <c r="A805" i="1"/>
  <c r="C805" i="1"/>
  <c r="A806" i="1"/>
  <c r="C806" i="1"/>
  <c r="A807" i="1"/>
  <c r="C807" i="1"/>
  <c r="A808" i="1"/>
  <c r="C808" i="1"/>
  <c r="A809" i="1"/>
  <c r="C809" i="1"/>
  <c r="A810" i="1"/>
  <c r="C810" i="1"/>
  <c r="A811" i="1"/>
  <c r="C811" i="1"/>
  <c r="A812" i="1"/>
  <c r="C812" i="1"/>
  <c r="A813" i="1"/>
  <c r="C813" i="1"/>
  <c r="A814" i="1"/>
  <c r="C814" i="1"/>
  <c r="A815" i="1"/>
  <c r="C815" i="1"/>
  <c r="A816" i="1"/>
  <c r="C816" i="1"/>
  <c r="A817" i="1"/>
  <c r="C817" i="1"/>
  <c r="A818" i="1"/>
  <c r="C818" i="1"/>
  <c r="A819" i="1"/>
  <c r="C819" i="1"/>
  <c r="A820" i="1"/>
  <c r="C820" i="1"/>
  <c r="A821" i="1"/>
  <c r="C821" i="1"/>
  <c r="A822" i="1"/>
  <c r="C822" i="1"/>
  <c r="A823" i="1"/>
  <c r="C823" i="1"/>
  <c r="A824" i="1"/>
  <c r="C824" i="1"/>
  <c r="A825" i="1"/>
  <c r="C825" i="1"/>
  <c r="A826" i="1"/>
  <c r="C826" i="1"/>
  <c r="A827" i="1"/>
  <c r="C827" i="1"/>
  <c r="A828" i="1"/>
  <c r="C828" i="1"/>
  <c r="A829" i="1"/>
  <c r="C829" i="1"/>
  <c r="A830" i="1"/>
  <c r="C830" i="1"/>
  <c r="A831" i="1"/>
  <c r="C831" i="1"/>
  <c r="A832" i="1"/>
  <c r="C832" i="1"/>
  <c r="A833" i="1"/>
  <c r="C833" i="1"/>
  <c r="A834" i="1"/>
  <c r="C834" i="1"/>
  <c r="A835" i="1"/>
  <c r="C835" i="1"/>
  <c r="A836" i="1"/>
  <c r="C836" i="1"/>
  <c r="A837" i="1"/>
  <c r="C837" i="1"/>
  <c r="A838" i="1"/>
  <c r="C838" i="1"/>
  <c r="A839" i="1"/>
  <c r="C839" i="1"/>
  <c r="A840" i="1"/>
  <c r="C840" i="1"/>
  <c r="A841" i="1"/>
  <c r="C841" i="1"/>
  <c r="A842" i="1"/>
  <c r="C842" i="1"/>
  <c r="A843" i="1"/>
  <c r="C843" i="1"/>
  <c r="A844" i="1"/>
  <c r="C844" i="1"/>
  <c r="A845" i="1"/>
  <c r="C845" i="1"/>
  <c r="A846" i="1"/>
  <c r="C846" i="1"/>
  <c r="A847" i="1"/>
  <c r="C847" i="1"/>
  <c r="A848" i="1"/>
  <c r="C848" i="1"/>
  <c r="A849" i="1"/>
  <c r="C849" i="1"/>
  <c r="A851" i="1"/>
  <c r="C851" i="1"/>
  <c r="A852" i="1"/>
  <c r="C852" i="1"/>
  <c r="A853" i="1"/>
  <c r="C853" i="1"/>
  <c r="A854" i="1"/>
  <c r="C854" i="1"/>
  <c r="A855" i="1"/>
  <c r="C855" i="1"/>
  <c r="A856" i="1"/>
  <c r="C856" i="1"/>
  <c r="A857" i="1"/>
  <c r="C857" i="1"/>
  <c r="A859" i="1"/>
  <c r="C859" i="1"/>
  <c r="A860" i="1"/>
  <c r="C860" i="1"/>
  <c r="A861" i="1"/>
  <c r="C861" i="1"/>
  <c r="A862" i="1"/>
  <c r="C862" i="1"/>
  <c r="A863" i="1"/>
  <c r="C863" i="1"/>
  <c r="A864" i="1"/>
  <c r="C864" i="1"/>
  <c r="A865" i="1"/>
  <c r="C865" i="1"/>
  <c r="A866" i="1"/>
  <c r="C866" i="1"/>
  <c r="A867" i="1"/>
  <c r="C867" i="1"/>
  <c r="A868" i="1"/>
  <c r="C868" i="1"/>
  <c r="A869" i="1"/>
  <c r="C869" i="1"/>
  <c r="A870" i="1"/>
  <c r="C870" i="1"/>
  <c r="A871" i="1"/>
  <c r="C871" i="1"/>
  <c r="A872" i="1"/>
  <c r="C872" i="1"/>
  <c r="A873" i="1"/>
  <c r="C873" i="1"/>
  <c r="A874" i="1"/>
  <c r="C874" i="1"/>
  <c r="A875" i="1"/>
  <c r="C875" i="1"/>
  <c r="A876" i="1"/>
  <c r="C876" i="1"/>
  <c r="A878" i="1"/>
  <c r="C878" i="1"/>
  <c r="A879" i="1"/>
  <c r="C879" i="1"/>
  <c r="A880" i="1"/>
  <c r="C880" i="1"/>
  <c r="A881" i="1"/>
  <c r="C881" i="1"/>
  <c r="A882" i="1"/>
  <c r="C882" i="1"/>
  <c r="A884" i="1"/>
  <c r="C884" i="1"/>
  <c r="A885" i="1"/>
  <c r="C885" i="1"/>
  <c r="A886" i="1"/>
  <c r="C886" i="1"/>
  <c r="A887" i="1"/>
  <c r="C887" i="1"/>
  <c r="A888" i="1"/>
  <c r="C888" i="1"/>
  <c r="A889" i="1"/>
  <c r="C889" i="1"/>
  <c r="A890" i="1"/>
  <c r="C890" i="1"/>
  <c r="A891" i="1"/>
  <c r="C891" i="1"/>
  <c r="A892" i="1"/>
  <c r="C892" i="1"/>
  <c r="A893" i="1"/>
  <c r="C893" i="1"/>
  <c r="A894" i="1"/>
  <c r="C894" i="1"/>
  <c r="A895" i="1"/>
  <c r="C895" i="1"/>
  <c r="A896" i="1"/>
  <c r="C896" i="1"/>
  <c r="A897" i="1"/>
  <c r="C897" i="1"/>
  <c r="A898" i="1"/>
  <c r="C898" i="1"/>
  <c r="A899" i="1"/>
  <c r="C899" i="1"/>
  <c r="A900" i="1"/>
  <c r="C900" i="1"/>
  <c r="A901" i="1"/>
  <c r="C901" i="1"/>
  <c r="A902" i="1"/>
  <c r="C902" i="1"/>
  <c r="A903" i="1"/>
  <c r="C903" i="1"/>
  <c r="A904" i="1"/>
  <c r="C904" i="1"/>
  <c r="A905" i="1"/>
  <c r="C905" i="1"/>
  <c r="A906" i="1"/>
  <c r="C906" i="1"/>
  <c r="A907" i="1"/>
  <c r="C907" i="1"/>
  <c r="A908" i="1"/>
  <c r="C908" i="1"/>
  <c r="A909" i="1"/>
  <c r="C909" i="1"/>
  <c r="A910" i="1"/>
  <c r="C910" i="1"/>
  <c r="A911" i="1"/>
  <c r="C911" i="1"/>
  <c r="A912" i="1"/>
  <c r="C912" i="1"/>
  <c r="A913" i="1"/>
  <c r="C913" i="1"/>
  <c r="A914" i="1"/>
  <c r="C914" i="1"/>
  <c r="A915" i="1"/>
  <c r="C915" i="1"/>
  <c r="A916" i="1"/>
  <c r="C916" i="1"/>
  <c r="A917" i="1"/>
  <c r="C917" i="1"/>
  <c r="A918" i="1"/>
  <c r="C918" i="1"/>
  <c r="A919" i="1"/>
  <c r="C919" i="1"/>
  <c r="A920" i="1"/>
  <c r="C920" i="1"/>
  <c r="A921" i="1"/>
  <c r="C921" i="1"/>
  <c r="A922" i="1"/>
  <c r="C922" i="1"/>
  <c r="A923" i="1"/>
  <c r="C923" i="1"/>
  <c r="A924" i="1"/>
  <c r="C924" i="1"/>
  <c r="A925" i="1"/>
  <c r="C925" i="1"/>
  <c r="A926" i="1"/>
  <c r="C926" i="1"/>
  <c r="A929" i="1"/>
  <c r="C929" i="1"/>
  <c r="A930" i="1"/>
  <c r="C930" i="1"/>
  <c r="A932" i="1"/>
  <c r="C932" i="1"/>
  <c r="A933" i="1"/>
  <c r="C933" i="1"/>
  <c r="A934" i="1"/>
  <c r="C934" i="1"/>
  <c r="A935" i="1"/>
  <c r="C935" i="1"/>
  <c r="A936" i="1"/>
  <c r="C936" i="1"/>
  <c r="A937" i="1"/>
  <c r="C937" i="1"/>
  <c r="A938" i="1"/>
  <c r="C938" i="1"/>
  <c r="A939" i="1"/>
  <c r="C939" i="1"/>
  <c r="A940" i="1"/>
  <c r="C940" i="1"/>
  <c r="A941" i="1"/>
  <c r="C941" i="1"/>
  <c r="A942" i="1"/>
  <c r="C942" i="1"/>
  <c r="A943" i="1"/>
  <c r="C943" i="1"/>
  <c r="A944" i="1"/>
  <c r="C944" i="1"/>
  <c r="A945" i="1"/>
  <c r="C945" i="1"/>
  <c r="A946" i="1"/>
  <c r="C946" i="1"/>
  <c r="A947" i="1"/>
  <c r="C947" i="1"/>
  <c r="A949" i="1"/>
  <c r="C949" i="1"/>
  <c r="A950" i="1"/>
  <c r="C950" i="1"/>
  <c r="A951" i="1"/>
  <c r="C951" i="1"/>
  <c r="A952" i="1"/>
  <c r="C952" i="1"/>
  <c r="A953" i="1"/>
  <c r="C953" i="1"/>
  <c r="A954" i="1"/>
  <c r="C954" i="1"/>
  <c r="A955" i="1"/>
  <c r="C955" i="1"/>
  <c r="A956" i="1"/>
  <c r="C956" i="1"/>
  <c r="A957" i="1"/>
  <c r="C957" i="1"/>
  <c r="A958" i="1"/>
  <c r="C958" i="1"/>
  <c r="A959" i="1"/>
  <c r="C959" i="1"/>
  <c r="A960" i="1"/>
  <c r="C960" i="1"/>
  <c r="A961" i="1"/>
  <c r="C961" i="1"/>
  <c r="A962" i="1"/>
  <c r="C962" i="1"/>
  <c r="A963" i="1"/>
  <c r="C963" i="1"/>
  <c r="A964" i="1"/>
  <c r="C964" i="1"/>
  <c r="A965" i="1"/>
  <c r="C965" i="1"/>
  <c r="A966" i="1"/>
  <c r="C966" i="1"/>
  <c r="A967" i="1"/>
  <c r="C967" i="1"/>
  <c r="A968" i="1"/>
  <c r="C968" i="1"/>
  <c r="A969" i="1"/>
  <c r="C969" i="1"/>
  <c r="A970" i="1"/>
  <c r="C970" i="1"/>
  <c r="A971" i="1"/>
  <c r="C971" i="1"/>
  <c r="A972" i="1"/>
  <c r="C972" i="1"/>
  <c r="A973" i="1"/>
  <c r="C973" i="1"/>
  <c r="A974" i="1"/>
  <c r="C974" i="1"/>
  <c r="A975" i="1"/>
  <c r="C975" i="1"/>
  <c r="A976" i="1"/>
  <c r="C976" i="1"/>
  <c r="A977" i="1"/>
  <c r="C977" i="1"/>
  <c r="A978" i="1"/>
  <c r="C978" i="1"/>
  <c r="A979" i="1"/>
  <c r="C979" i="1"/>
  <c r="A980" i="1"/>
  <c r="C980" i="1"/>
  <c r="A981" i="1"/>
  <c r="C981" i="1"/>
  <c r="A982" i="1"/>
  <c r="C982" i="1"/>
  <c r="A983" i="1"/>
  <c r="C983" i="1"/>
  <c r="A984" i="1"/>
  <c r="C984" i="1"/>
  <c r="A985" i="1"/>
  <c r="C985" i="1"/>
  <c r="A986" i="1"/>
  <c r="C986" i="1"/>
  <c r="A987" i="1"/>
  <c r="C987" i="1"/>
  <c r="A988" i="1"/>
  <c r="C988" i="1"/>
  <c r="A989" i="1"/>
  <c r="C989" i="1"/>
  <c r="A990" i="1"/>
  <c r="C990" i="1"/>
  <c r="A991" i="1"/>
  <c r="C991" i="1"/>
  <c r="A993" i="1"/>
  <c r="C993" i="1"/>
  <c r="A994" i="1"/>
  <c r="C994" i="1"/>
  <c r="A995" i="1"/>
  <c r="C995" i="1"/>
  <c r="A996" i="1"/>
  <c r="C996" i="1"/>
  <c r="A997" i="1"/>
  <c r="C997" i="1"/>
  <c r="A998" i="1"/>
  <c r="C998" i="1"/>
  <c r="A1000" i="1"/>
  <c r="C1000" i="1"/>
  <c r="A1001" i="1"/>
  <c r="C1001" i="1"/>
  <c r="A1002" i="1"/>
  <c r="C1002" i="1"/>
  <c r="A1003" i="1"/>
  <c r="C1003" i="1"/>
  <c r="A1004" i="1"/>
  <c r="C1004" i="1"/>
  <c r="A1005" i="1"/>
  <c r="C1005" i="1"/>
  <c r="A1006" i="1"/>
  <c r="C1006" i="1"/>
  <c r="A1007" i="1"/>
  <c r="C1007" i="1"/>
  <c r="A1008" i="1"/>
  <c r="C1008" i="1"/>
  <c r="A1009" i="1"/>
  <c r="C1009" i="1"/>
  <c r="A1011" i="1"/>
  <c r="C1011" i="1"/>
  <c r="A1012" i="1"/>
  <c r="C1012" i="1"/>
  <c r="A1013" i="1"/>
  <c r="C1013" i="1"/>
  <c r="A1014" i="1"/>
  <c r="C1014" i="1"/>
  <c r="A1015" i="1"/>
  <c r="C1015" i="1"/>
  <c r="A1016" i="1"/>
  <c r="C1016" i="1"/>
  <c r="A1017" i="1"/>
  <c r="C1017" i="1"/>
  <c r="A1018" i="1"/>
  <c r="C1018" i="1"/>
  <c r="A1019" i="1"/>
  <c r="C1019" i="1"/>
  <c r="A1020" i="1"/>
  <c r="C1020" i="1"/>
  <c r="A1021" i="1"/>
  <c r="C1021" i="1"/>
  <c r="A1022" i="1"/>
  <c r="C1022" i="1"/>
  <c r="A1023" i="1"/>
  <c r="C1023" i="1"/>
  <c r="A1024" i="1"/>
  <c r="C1024" i="1"/>
  <c r="A1025" i="1"/>
  <c r="C1025" i="1"/>
  <c r="A1026" i="1"/>
  <c r="C1026" i="1"/>
  <c r="A1027" i="1"/>
  <c r="C1027" i="1"/>
  <c r="A1028" i="1"/>
  <c r="C1028" i="1"/>
  <c r="A1029" i="1"/>
  <c r="C1029" i="1"/>
  <c r="A1030" i="1"/>
  <c r="C1030" i="1"/>
  <c r="A1031" i="1"/>
  <c r="C1031" i="1"/>
  <c r="A1034" i="1"/>
  <c r="C1034" i="1"/>
  <c r="A1035" i="1"/>
  <c r="C1035" i="1"/>
  <c r="A1036" i="1"/>
  <c r="C1036" i="1"/>
  <c r="A1037" i="1"/>
  <c r="C1037" i="1"/>
  <c r="A1038" i="1"/>
  <c r="C1038" i="1"/>
  <c r="A1039" i="1"/>
  <c r="C1039" i="1"/>
  <c r="A1040" i="1"/>
  <c r="C1040" i="1"/>
  <c r="A1041" i="1"/>
  <c r="C1041" i="1"/>
  <c r="A1042" i="1"/>
  <c r="C1042" i="1"/>
  <c r="A1043" i="1"/>
  <c r="C1043" i="1"/>
  <c r="A1044" i="1"/>
  <c r="C1044" i="1"/>
  <c r="A1045" i="1"/>
  <c r="C1045" i="1"/>
  <c r="A1046" i="1"/>
  <c r="C1046" i="1"/>
  <c r="A1047" i="1"/>
  <c r="C1047" i="1"/>
  <c r="A1048" i="1"/>
  <c r="C1048" i="1"/>
  <c r="A1049" i="1"/>
  <c r="C1049" i="1"/>
  <c r="A1050" i="1"/>
  <c r="C1050" i="1"/>
  <c r="A1052" i="1"/>
  <c r="C1052" i="1"/>
  <c r="A1053" i="1"/>
  <c r="C1053" i="1"/>
  <c r="A1054" i="1"/>
  <c r="C1054" i="1"/>
  <c r="A1055" i="1"/>
  <c r="C1055" i="1"/>
  <c r="A1056" i="1"/>
  <c r="C1056" i="1"/>
  <c r="A1057" i="1"/>
  <c r="C1057" i="1"/>
  <c r="A1058" i="1"/>
  <c r="C1058" i="1"/>
  <c r="A1059" i="1"/>
  <c r="C1059" i="1"/>
  <c r="A1060" i="1"/>
  <c r="C1060" i="1"/>
  <c r="A1061" i="1"/>
  <c r="C1061" i="1"/>
  <c r="A1062" i="1"/>
  <c r="C1062" i="1"/>
  <c r="A1063" i="1"/>
  <c r="C1063" i="1"/>
  <c r="A1064" i="1"/>
  <c r="C1064" i="1"/>
  <c r="A1065" i="1"/>
  <c r="C1065" i="1"/>
  <c r="A1066" i="1"/>
  <c r="C1066" i="1"/>
  <c r="A1067" i="1"/>
  <c r="C1067" i="1"/>
  <c r="A1068" i="1"/>
  <c r="C1068" i="1"/>
  <c r="A1069" i="1"/>
  <c r="C1069" i="1"/>
  <c r="A1070" i="1"/>
  <c r="C1070" i="1"/>
  <c r="A1071" i="1"/>
  <c r="C1071" i="1"/>
  <c r="A1072" i="1"/>
  <c r="C1072" i="1"/>
  <c r="A1073" i="1"/>
  <c r="C1073" i="1"/>
  <c r="A1074" i="1"/>
  <c r="C1074" i="1"/>
  <c r="A1075" i="1"/>
  <c r="C1075" i="1"/>
  <c r="A1076" i="1"/>
  <c r="C1076" i="1"/>
  <c r="A1077" i="1"/>
  <c r="C1077" i="1"/>
  <c r="A1078" i="1"/>
  <c r="C1078" i="1"/>
  <c r="A1079" i="1"/>
  <c r="C1079" i="1"/>
  <c r="A1080" i="1"/>
  <c r="C1080" i="1"/>
  <c r="A1081" i="1"/>
  <c r="C1081" i="1"/>
  <c r="A1083" i="1"/>
  <c r="C1083" i="1"/>
  <c r="A1084" i="1"/>
  <c r="C1084" i="1"/>
  <c r="A1085" i="1"/>
  <c r="C1085" i="1"/>
  <c r="A1086" i="1"/>
  <c r="C1086" i="1"/>
  <c r="A1087" i="1"/>
  <c r="C1087" i="1"/>
  <c r="A1088" i="1"/>
  <c r="C1088" i="1"/>
  <c r="A1089" i="1"/>
  <c r="C1089" i="1"/>
  <c r="A1090" i="1"/>
  <c r="C1090" i="1"/>
  <c r="A1091" i="1"/>
  <c r="C1091" i="1"/>
  <c r="A1092" i="1"/>
  <c r="C1092" i="1"/>
  <c r="A1093" i="1"/>
  <c r="C1093" i="1"/>
  <c r="A1094" i="1"/>
  <c r="C1094" i="1"/>
  <c r="A1095" i="1"/>
  <c r="C1095" i="1"/>
  <c r="A1097" i="1"/>
  <c r="C1097" i="1"/>
  <c r="A1098" i="1"/>
  <c r="C1098" i="1"/>
  <c r="A1099" i="1"/>
  <c r="C1099" i="1"/>
  <c r="A1100" i="1"/>
  <c r="C1100" i="1"/>
  <c r="A1101" i="1"/>
  <c r="C1101" i="1"/>
  <c r="A1102" i="1"/>
  <c r="C1102" i="1"/>
  <c r="A1103" i="1"/>
  <c r="C1103" i="1"/>
  <c r="A1104" i="1"/>
  <c r="C1104" i="1"/>
  <c r="A1105" i="1"/>
  <c r="C1105" i="1"/>
  <c r="A1106" i="1"/>
  <c r="C1106" i="1"/>
  <c r="A1107" i="1"/>
  <c r="C1107" i="1"/>
  <c r="A1108" i="1"/>
  <c r="C1108" i="1"/>
  <c r="A1109" i="1"/>
  <c r="C1109" i="1"/>
  <c r="A1110" i="1"/>
  <c r="C1110" i="1"/>
  <c r="A1111" i="1"/>
  <c r="C1111" i="1"/>
  <c r="A1112" i="1"/>
  <c r="C1112" i="1"/>
  <c r="A1113" i="1"/>
  <c r="C1113" i="1"/>
  <c r="A1114" i="1"/>
  <c r="C1114" i="1"/>
  <c r="A1115" i="1"/>
  <c r="C1115" i="1"/>
  <c r="A1116" i="1"/>
  <c r="C1116" i="1"/>
  <c r="A1117" i="1"/>
  <c r="C1117" i="1"/>
  <c r="A1118" i="1"/>
  <c r="C1118" i="1"/>
  <c r="A1119" i="1"/>
  <c r="C1119" i="1"/>
  <c r="A1120" i="1"/>
  <c r="C1120" i="1"/>
  <c r="A1121" i="1"/>
  <c r="C1121" i="1"/>
  <c r="A1122" i="1"/>
  <c r="C1122" i="1"/>
  <c r="A1123" i="1"/>
  <c r="C1123" i="1"/>
  <c r="A1124" i="1"/>
  <c r="C1124" i="1"/>
  <c r="A1125" i="1"/>
  <c r="C1125" i="1"/>
  <c r="A1126" i="1"/>
  <c r="C1126" i="1"/>
  <c r="A1127" i="1"/>
  <c r="C1127" i="1"/>
  <c r="A1128" i="1"/>
  <c r="C1128" i="1"/>
  <c r="A1129" i="1"/>
  <c r="C1129" i="1"/>
  <c r="A1130" i="1"/>
  <c r="C1130" i="1"/>
  <c r="A1131" i="1"/>
  <c r="C1131" i="1"/>
  <c r="A1132" i="1"/>
  <c r="C1132" i="1"/>
  <c r="A1133" i="1"/>
  <c r="C1133" i="1"/>
  <c r="A1134" i="1"/>
  <c r="C1134" i="1"/>
  <c r="A1135" i="1"/>
  <c r="C1135" i="1"/>
  <c r="A1136" i="1"/>
  <c r="C1136" i="1"/>
  <c r="A1137" i="1"/>
  <c r="C1137" i="1"/>
  <c r="A1138" i="1"/>
  <c r="C1138" i="1"/>
  <c r="A1139" i="1"/>
  <c r="C1139" i="1"/>
  <c r="A1140" i="1"/>
  <c r="C1140" i="1"/>
  <c r="A1141" i="1"/>
  <c r="C1141" i="1"/>
  <c r="A1142" i="1"/>
  <c r="C1142" i="1"/>
  <c r="A1143" i="1"/>
  <c r="C1143" i="1"/>
  <c r="A1144" i="1"/>
  <c r="C1144" i="1"/>
  <c r="A1145" i="1"/>
  <c r="C1145" i="1"/>
  <c r="A1146" i="1"/>
  <c r="C1146" i="1"/>
  <c r="A1147" i="1"/>
  <c r="C1147" i="1"/>
  <c r="A1148" i="1"/>
  <c r="C1148" i="1"/>
  <c r="A1149" i="1"/>
  <c r="C1149" i="1"/>
  <c r="A1150" i="1"/>
  <c r="C1150" i="1"/>
  <c r="A1151" i="1"/>
  <c r="C1151" i="1"/>
  <c r="A1152" i="1"/>
  <c r="C1152" i="1"/>
  <c r="A1153" i="1"/>
  <c r="C1153" i="1"/>
  <c r="A1154" i="1"/>
  <c r="C1154" i="1"/>
  <c r="A1155" i="1"/>
  <c r="C1155" i="1"/>
  <c r="A1156" i="1"/>
  <c r="C1156" i="1"/>
  <c r="A1157" i="1"/>
  <c r="C1157" i="1"/>
  <c r="A1158" i="1"/>
  <c r="C1158" i="1"/>
  <c r="A1159" i="1"/>
  <c r="C1159" i="1"/>
  <c r="A1160" i="1"/>
  <c r="C1160" i="1"/>
  <c r="A1161" i="1"/>
  <c r="C1161" i="1"/>
  <c r="A1162" i="1"/>
  <c r="C1162" i="1"/>
  <c r="A1163" i="1"/>
  <c r="C1163" i="1"/>
  <c r="A1164" i="1"/>
  <c r="C1164" i="1"/>
  <c r="A1165" i="1"/>
  <c r="C1165" i="1"/>
  <c r="A1166" i="1"/>
  <c r="C1166" i="1"/>
  <c r="A1167" i="1"/>
  <c r="C1167" i="1"/>
  <c r="A1168" i="1"/>
  <c r="C1168" i="1"/>
  <c r="A1169" i="1"/>
  <c r="C1169" i="1"/>
  <c r="A1170" i="1"/>
  <c r="C1170" i="1"/>
  <c r="A1171" i="1"/>
  <c r="C1171" i="1"/>
  <c r="A1172" i="1"/>
  <c r="C1172" i="1"/>
  <c r="A1173" i="1"/>
  <c r="C1173" i="1"/>
  <c r="A1174" i="1"/>
  <c r="C1174" i="1"/>
  <c r="A1175" i="1"/>
  <c r="C1175" i="1"/>
  <c r="A1176" i="1"/>
  <c r="C1176" i="1"/>
  <c r="A1177" i="1"/>
  <c r="C1177" i="1"/>
  <c r="A1178" i="1"/>
  <c r="C1178" i="1"/>
  <c r="A1179" i="1"/>
  <c r="C1179" i="1"/>
  <c r="A1180" i="1"/>
  <c r="C1180" i="1"/>
  <c r="A1181" i="1"/>
  <c r="C1181" i="1"/>
  <c r="A1182" i="1"/>
  <c r="C1182" i="1"/>
  <c r="A1183" i="1"/>
  <c r="C1183" i="1"/>
  <c r="A1184" i="1"/>
  <c r="C1184" i="1"/>
  <c r="A1185" i="1"/>
  <c r="C1185" i="1"/>
  <c r="A1186" i="1"/>
  <c r="C1186" i="1"/>
  <c r="A1187" i="1"/>
  <c r="C1187" i="1"/>
  <c r="A1188" i="1"/>
  <c r="C1188" i="1"/>
  <c r="A1189" i="1"/>
  <c r="C1189" i="1"/>
  <c r="A1190" i="1"/>
  <c r="C1190" i="1"/>
  <c r="A1191" i="1"/>
  <c r="C1191" i="1"/>
  <c r="A1192" i="1"/>
  <c r="C1192" i="1"/>
  <c r="A1193" i="1"/>
  <c r="C1193" i="1"/>
  <c r="A1194" i="1"/>
  <c r="C1194" i="1"/>
  <c r="A1195" i="1"/>
  <c r="C1195" i="1"/>
  <c r="A1196" i="1"/>
  <c r="C1196" i="1"/>
  <c r="A1197" i="1"/>
  <c r="C1197" i="1"/>
  <c r="A1198" i="1"/>
  <c r="C1198" i="1"/>
  <c r="A1199" i="1"/>
  <c r="C1199" i="1"/>
  <c r="A1200" i="1"/>
  <c r="C1200" i="1"/>
  <c r="A1201" i="1"/>
  <c r="C1201" i="1"/>
  <c r="A1202" i="1"/>
  <c r="C1202" i="1"/>
  <c r="A1203" i="1"/>
  <c r="C1203" i="1"/>
  <c r="A1204" i="1"/>
  <c r="C1204" i="1"/>
  <c r="A1205" i="1"/>
  <c r="C1205" i="1"/>
  <c r="A1206" i="1"/>
  <c r="C1206" i="1"/>
  <c r="A1207" i="1"/>
  <c r="C1207" i="1"/>
  <c r="A1208" i="1"/>
  <c r="C1208" i="1"/>
  <c r="A1209" i="1"/>
  <c r="C1209" i="1"/>
  <c r="A1210" i="1"/>
  <c r="C1210" i="1"/>
  <c r="A1211" i="1"/>
  <c r="C1211" i="1"/>
  <c r="A1212" i="1"/>
  <c r="C1212" i="1"/>
  <c r="A1213" i="1"/>
  <c r="C1213" i="1"/>
  <c r="A1214" i="1"/>
  <c r="C1214" i="1"/>
  <c r="A1215" i="1"/>
  <c r="C1215" i="1"/>
  <c r="A1216" i="1"/>
  <c r="C1216" i="1"/>
  <c r="A1217" i="1"/>
  <c r="C1217" i="1"/>
  <c r="A1218" i="1"/>
  <c r="C1218" i="1"/>
  <c r="A1219" i="1"/>
  <c r="C1219" i="1"/>
  <c r="A1220" i="1"/>
  <c r="C1220" i="1"/>
  <c r="A1221" i="1"/>
  <c r="C1221" i="1"/>
  <c r="A1222" i="1"/>
  <c r="C1222" i="1"/>
  <c r="A1223" i="1"/>
  <c r="C1223" i="1"/>
  <c r="A1224" i="1"/>
  <c r="C1224" i="1"/>
  <c r="A1225" i="1"/>
  <c r="C1225" i="1"/>
  <c r="A1226" i="1"/>
  <c r="C1226" i="1"/>
  <c r="A1227" i="1"/>
  <c r="C1227" i="1"/>
  <c r="A1228" i="1"/>
  <c r="C1228" i="1"/>
  <c r="A1229" i="1"/>
  <c r="C1229" i="1"/>
  <c r="A1230" i="1"/>
  <c r="C1230" i="1"/>
  <c r="A1231" i="1"/>
  <c r="C1231" i="1"/>
  <c r="A1232" i="1"/>
  <c r="C1232" i="1"/>
  <c r="A1233" i="1"/>
  <c r="C1233" i="1"/>
  <c r="A1234" i="1"/>
  <c r="C1234" i="1"/>
  <c r="A1235" i="1"/>
  <c r="C1235" i="1"/>
  <c r="A1236" i="1"/>
  <c r="C1236" i="1"/>
  <c r="A1237" i="1"/>
  <c r="C1237" i="1"/>
  <c r="A1238" i="1"/>
  <c r="C1238" i="1"/>
  <c r="A1239" i="1"/>
  <c r="C1239" i="1"/>
  <c r="A1240" i="1"/>
  <c r="C1240" i="1"/>
  <c r="A1241" i="1"/>
  <c r="C1241" i="1"/>
  <c r="A1242" i="1"/>
  <c r="C1242" i="1"/>
  <c r="A1243" i="1"/>
  <c r="C1243" i="1"/>
  <c r="A1244" i="1"/>
  <c r="C1244" i="1"/>
  <c r="A1245" i="1"/>
  <c r="C1245" i="1"/>
  <c r="A1246" i="1"/>
  <c r="C1246" i="1"/>
  <c r="A1247" i="1"/>
  <c r="C1247" i="1"/>
  <c r="A1248" i="1"/>
  <c r="C1248" i="1"/>
  <c r="A1249" i="1"/>
  <c r="C1249" i="1"/>
  <c r="A1250" i="1"/>
  <c r="C1250" i="1"/>
  <c r="A1251" i="1"/>
  <c r="C1251" i="1"/>
  <c r="A1252" i="1"/>
  <c r="C1252" i="1"/>
  <c r="A1253" i="1"/>
  <c r="C1253" i="1"/>
  <c r="A1254" i="1"/>
  <c r="C1254" i="1"/>
  <c r="A1255" i="1"/>
  <c r="C1255" i="1"/>
  <c r="A1256" i="1"/>
  <c r="C1256" i="1"/>
  <c r="A1257" i="1"/>
  <c r="C1257" i="1"/>
  <c r="A1258" i="1"/>
  <c r="C1258" i="1"/>
  <c r="A1259" i="1"/>
  <c r="C1259" i="1"/>
  <c r="A1260" i="1"/>
  <c r="C1260" i="1"/>
  <c r="A1261" i="1"/>
  <c r="C1261" i="1"/>
  <c r="A1262" i="1"/>
  <c r="C1262" i="1"/>
  <c r="A1263" i="1"/>
  <c r="C1263" i="1"/>
  <c r="A1264" i="1"/>
  <c r="C1264" i="1"/>
  <c r="A1265" i="1"/>
  <c r="C1265" i="1"/>
  <c r="A1266" i="1"/>
  <c r="C1266" i="1"/>
  <c r="A1267" i="1"/>
  <c r="C1267" i="1"/>
  <c r="A1268" i="1"/>
  <c r="C1268" i="1"/>
  <c r="A1269" i="1"/>
  <c r="C1269" i="1"/>
  <c r="A1270" i="1"/>
  <c r="C1270" i="1"/>
  <c r="A1271" i="1"/>
  <c r="C1271" i="1"/>
  <c r="A1272" i="1"/>
  <c r="C1272" i="1"/>
  <c r="A1273" i="1"/>
  <c r="C1273" i="1"/>
  <c r="A1274" i="1"/>
  <c r="C1274" i="1"/>
  <c r="A1275" i="1"/>
  <c r="C1275" i="1"/>
  <c r="A1276" i="1"/>
  <c r="C1276" i="1"/>
  <c r="A1277" i="1"/>
  <c r="C1277" i="1"/>
  <c r="A1278" i="1"/>
  <c r="C1278" i="1"/>
  <c r="A1280" i="1"/>
  <c r="C1280" i="1"/>
  <c r="A1281" i="1"/>
  <c r="C1281" i="1"/>
  <c r="A1282" i="1"/>
  <c r="C1282" i="1"/>
  <c r="A1283" i="1"/>
  <c r="C1283" i="1"/>
  <c r="A1284" i="1"/>
  <c r="C1284" i="1"/>
  <c r="A1285" i="1"/>
  <c r="C1285" i="1"/>
  <c r="A1286" i="1"/>
  <c r="C1286" i="1"/>
  <c r="A1287" i="1"/>
  <c r="C1287" i="1"/>
  <c r="A1288" i="1"/>
  <c r="C1288" i="1"/>
  <c r="A1289" i="1"/>
  <c r="C1289" i="1"/>
  <c r="A1290" i="1"/>
  <c r="C1290" i="1"/>
  <c r="A1291" i="1"/>
  <c r="C1291" i="1"/>
  <c r="A1292" i="1"/>
  <c r="C1292" i="1"/>
  <c r="A1293" i="1"/>
  <c r="C1293" i="1"/>
  <c r="A1294" i="1"/>
  <c r="C1294" i="1"/>
  <c r="A1295" i="1"/>
  <c r="C1295" i="1"/>
  <c r="A1296" i="1"/>
  <c r="C1296" i="1"/>
  <c r="A1297" i="1"/>
  <c r="C1297" i="1"/>
  <c r="A1298" i="1"/>
  <c r="C1298" i="1"/>
  <c r="A1299" i="1"/>
  <c r="C1299" i="1"/>
  <c r="A1300" i="1"/>
  <c r="C1300" i="1"/>
  <c r="A1301" i="1"/>
  <c r="C1301" i="1"/>
  <c r="A1302" i="1"/>
  <c r="C1302" i="1"/>
  <c r="A1303" i="1"/>
  <c r="C1303" i="1"/>
  <c r="A1304" i="1"/>
  <c r="C1304" i="1"/>
  <c r="A1305" i="1"/>
  <c r="C1305" i="1"/>
  <c r="A1306" i="1"/>
  <c r="C1306" i="1"/>
  <c r="A1307" i="1"/>
  <c r="C1307" i="1"/>
  <c r="A1308" i="1"/>
  <c r="C1308" i="1"/>
  <c r="A1309" i="1"/>
  <c r="C1309" i="1"/>
  <c r="A1310" i="1"/>
  <c r="C1310" i="1"/>
  <c r="A1311" i="1"/>
  <c r="C1311" i="1"/>
  <c r="A1312" i="1"/>
  <c r="C1312" i="1"/>
  <c r="A1313" i="1"/>
  <c r="C1313" i="1"/>
  <c r="A1314" i="1"/>
  <c r="C1314" i="1"/>
  <c r="A1315" i="1"/>
  <c r="C1315" i="1"/>
  <c r="A1316" i="1"/>
  <c r="C1316" i="1"/>
  <c r="A1317" i="1"/>
  <c r="C1317" i="1"/>
  <c r="A1318" i="1"/>
  <c r="C1318" i="1"/>
  <c r="A1319" i="1"/>
  <c r="C1319" i="1"/>
  <c r="A1320" i="1"/>
  <c r="C1320" i="1"/>
  <c r="A1321" i="1"/>
  <c r="C1321" i="1"/>
  <c r="A1322" i="1"/>
  <c r="C1322" i="1"/>
  <c r="A1323" i="1"/>
  <c r="C1323" i="1"/>
  <c r="A1324" i="1"/>
  <c r="C1324" i="1"/>
  <c r="A1325" i="1"/>
  <c r="C1325" i="1"/>
  <c r="A1326" i="1"/>
  <c r="C1326" i="1"/>
  <c r="A1327" i="1"/>
  <c r="C1327" i="1"/>
  <c r="A1328" i="1"/>
  <c r="C1328" i="1"/>
  <c r="A1329" i="1"/>
  <c r="C1329" i="1"/>
  <c r="A1330" i="1"/>
  <c r="C1330" i="1"/>
  <c r="A1331" i="1"/>
  <c r="C1331" i="1"/>
  <c r="A1332" i="1"/>
  <c r="C1332" i="1"/>
  <c r="A1333" i="1"/>
  <c r="C1333" i="1"/>
  <c r="A1334" i="1"/>
  <c r="C1334" i="1"/>
  <c r="A1335" i="1"/>
  <c r="C1335" i="1"/>
  <c r="A1336" i="1"/>
  <c r="C1336" i="1"/>
  <c r="A1337" i="1"/>
  <c r="C1337" i="1"/>
  <c r="A1338" i="1"/>
  <c r="C1338" i="1"/>
  <c r="A1339" i="1"/>
  <c r="C1339" i="1"/>
  <c r="A1340" i="1"/>
  <c r="C1340" i="1"/>
  <c r="A1341" i="1"/>
  <c r="C1341" i="1"/>
  <c r="A1342" i="1"/>
  <c r="C1342" i="1"/>
  <c r="A1343" i="1"/>
  <c r="C1343" i="1"/>
  <c r="A1344" i="1"/>
  <c r="C1344" i="1"/>
  <c r="A1345" i="1"/>
  <c r="C1345" i="1"/>
  <c r="A1346" i="1"/>
  <c r="C1346" i="1"/>
  <c r="A1347" i="1"/>
  <c r="C1347" i="1"/>
  <c r="A1348" i="1"/>
  <c r="C1348" i="1"/>
  <c r="A1350" i="1"/>
  <c r="C1350" i="1"/>
  <c r="A1351" i="1"/>
  <c r="C1351" i="1"/>
  <c r="A1352" i="1"/>
  <c r="C1352" i="1"/>
  <c r="A1353" i="1"/>
  <c r="C1353" i="1"/>
  <c r="A1354" i="1"/>
  <c r="C1354" i="1"/>
  <c r="A1355" i="1"/>
  <c r="C1355" i="1"/>
  <c r="A1356" i="1"/>
  <c r="C1356" i="1"/>
  <c r="A1357" i="1"/>
  <c r="C1357" i="1"/>
  <c r="A1358" i="1"/>
  <c r="C1358" i="1"/>
  <c r="A1359" i="1"/>
  <c r="C1359" i="1"/>
  <c r="A1360" i="1"/>
  <c r="C1360" i="1"/>
  <c r="A1361" i="1"/>
  <c r="C1361" i="1"/>
  <c r="A1362" i="1"/>
  <c r="C1362" i="1"/>
  <c r="A1363" i="1"/>
  <c r="C1363" i="1"/>
  <c r="A1364" i="1"/>
  <c r="C1364" i="1"/>
  <c r="A1365" i="1"/>
  <c r="C1365" i="1"/>
  <c r="A1366" i="1"/>
  <c r="C1366" i="1"/>
  <c r="A1367" i="1"/>
  <c r="C1367" i="1"/>
  <c r="A1368" i="1"/>
  <c r="C1368" i="1"/>
  <c r="A1369" i="1"/>
  <c r="C1369" i="1"/>
  <c r="A1370" i="1"/>
  <c r="C1370" i="1"/>
  <c r="A1371" i="1"/>
  <c r="C1371" i="1"/>
  <c r="A1372" i="1"/>
  <c r="C1372" i="1"/>
  <c r="A1373" i="1"/>
  <c r="C1373" i="1"/>
  <c r="A1374" i="1"/>
  <c r="C1374" i="1"/>
  <c r="A1375" i="1"/>
  <c r="C1375" i="1"/>
  <c r="A1376" i="1"/>
  <c r="C1376" i="1"/>
  <c r="A1377" i="1"/>
  <c r="C1377" i="1"/>
  <c r="A1378" i="1"/>
  <c r="C1378" i="1"/>
  <c r="A1379" i="1"/>
  <c r="C1379" i="1"/>
  <c r="A1380" i="1"/>
  <c r="C1380" i="1"/>
</calcChain>
</file>

<file path=xl/sharedStrings.xml><?xml version="1.0" encoding="utf-8"?>
<sst xmlns="http://schemas.openxmlformats.org/spreadsheetml/2006/main" count="12980" uniqueCount="2703">
  <si>
    <t>B_CMD.ANA_SUIVTRXSECT</t>
  </si>
  <si>
    <t>W_FLAG_NEW_OCC.ANA_SUIVTRXSECT</t>
  </si>
  <si>
    <t>B_DEVIS.ANA_SUIVTRXSECT</t>
  </si>
  <si>
    <t>STSC_CORPSETAT.ANA_SUIVTRXSECT</t>
  </si>
  <si>
    <t>PERC_SECTEUR.ANA_SUIVTRXSECT</t>
  </si>
  <si>
    <t>PATC_N4.ANA_SUIVTRXSECT</t>
  </si>
  <si>
    <t>UHMC_ARL.ANA_SUIVTRXSECT</t>
  </si>
  <si>
    <t>STSC_ADRESSE.ANA_SUIVTRXSECT</t>
  </si>
  <si>
    <t>NAAC_CODE.ANA_SUIVTRXSECT</t>
  </si>
  <si>
    <t>STSC_LETTRE.ANA_SUIVTRXSECT</t>
  </si>
  <si>
    <t>STSC_CHARGEOP.ANA_SUIVTRXSECT</t>
  </si>
  <si>
    <t>STSC_DESCTRX.ANA_SUIVTRXSECT</t>
  </si>
  <si>
    <t>STSN_BUDGET.ANA_SUIVTRXSECT</t>
  </si>
  <si>
    <t>STSC_LIGNEBUD.ANA_SUIVTRXSECT</t>
  </si>
  <si>
    <t>COMN_NUM.ANA_SUIVTRXSECT</t>
  </si>
  <si>
    <t>ENTN_NUM.ANA_SUIVTRXSECT</t>
  </si>
  <si>
    <t>W_ENTC_EMPLOYEUR.ANA_SUIVTRXSECT</t>
  </si>
  <si>
    <t>STSN_ENGAGE.ANA_SUIVTRXSECT</t>
  </si>
  <si>
    <t>STSN_PAYE.ANA_SUIVTRXSECT</t>
  </si>
  <si>
    <t>STSN_SOLDE.ANA_SUIVTRXSECT</t>
  </si>
  <si>
    <t>STSC_ETATTRX.ANA_SUIVTRXSECT</t>
  </si>
  <si>
    <t>STSD_DEBTRX.ANA_SUIVTRXSECT</t>
  </si>
  <si>
    <t>STSD_FINTRX.ANA_SUIVTRXSECT</t>
  </si>
  <si>
    <t>STSC_OBSTRX.ANA_SUIVTRXSECT</t>
  </si>
  <si>
    <t>STSC_ETATCOM.ANA_SUIVTRXSECT</t>
  </si>
  <si>
    <t>STSD_DATECOM.ANA_SUIVTRXSECT</t>
  </si>
  <si>
    <t>(r) Fermetures</t>
  </si>
  <si>
    <t>S07</t>
  </si>
  <si>
    <t>MLH</t>
  </si>
  <si>
    <t>77 COMMUNE SAINT BRICE COURCELLES</t>
  </si>
  <si>
    <t>CP</t>
  </si>
  <si>
    <t>DBM</t>
  </si>
  <si>
    <t>PORTE DE GARAGE</t>
  </si>
  <si>
    <t>BL - BAUDET XAVIER</t>
  </si>
  <si>
    <t>TERMINES</t>
  </si>
  <si>
    <t>(o) Plomberie</t>
  </si>
  <si>
    <t>SAA</t>
  </si>
  <si>
    <t>46 CASANOVA TINQUEUX</t>
  </si>
  <si>
    <t>TRAVAUX DOUCHE</t>
  </si>
  <si>
    <t>MUST - IDEX ENERGIES EPERNAY</t>
  </si>
  <si>
    <t>EN COURS</t>
  </si>
  <si>
    <t>(j) Couvertures</t>
  </si>
  <si>
    <t>KGU</t>
  </si>
  <si>
    <t>GARAGE SUREAU TINQUEUX</t>
  </si>
  <si>
    <t>GE</t>
  </si>
  <si>
    <t>GOUTTIERES</t>
  </si>
  <si>
    <t>ETS MARCHAND COUVERTURE</t>
  </si>
  <si>
    <t>AFFICHAGE</t>
  </si>
  <si>
    <t>(q) Menuiseries ext</t>
  </si>
  <si>
    <t>S12</t>
  </si>
  <si>
    <t>AOUASSIM</t>
  </si>
  <si>
    <t>35 A-B-C RUE JULES LOBET - EPERNAY</t>
  </si>
  <si>
    <t>MOYANCE</t>
  </si>
  <si>
    <t>REMPLACEMENT D'UNE TABATIERE</t>
  </si>
  <si>
    <t>AVG</t>
  </si>
  <si>
    <t>22.04: EN ATTENTE DE LIVRAISON DU VELUX</t>
  </si>
  <si>
    <t>18.03: DEMANDE PLANNING ET PDP TRANSMIS</t>
  </si>
  <si>
    <t>(f) Ravalement</t>
  </si>
  <si>
    <t>S04</t>
  </si>
  <si>
    <t>FFONTAINE</t>
  </si>
  <si>
    <t>6 THIL / 2 DREYFUS</t>
  </si>
  <si>
    <t>JBELLIEN</t>
  </si>
  <si>
    <t>NETTOYAGE TERRASSE</t>
  </si>
  <si>
    <t>SYNDIC HORIZON - 3 FONTAINES</t>
  </si>
  <si>
    <t>S03</t>
  </si>
  <si>
    <t>JGUILLEN</t>
  </si>
  <si>
    <t>PIAZETTA</t>
  </si>
  <si>
    <t>CLELONG</t>
  </si>
  <si>
    <t>TRAPPE ACCES VIDE SANITAIRE</t>
  </si>
  <si>
    <t>SERRURERIE HENRYET</t>
  </si>
  <si>
    <t>EB</t>
  </si>
  <si>
    <t>36-36BIS- 36TER  COURLANCY</t>
  </si>
  <si>
    <t>RAMONAGE CONDUITS VMC HORIZONTAUX ET VERTICAUX (GE / POINT AVEC THERMIQUE)</t>
  </si>
  <si>
    <t>CHAMPAGNE ENERGIES</t>
  </si>
  <si>
    <t>(u) Etanchéité</t>
  </si>
  <si>
    <t>SKH</t>
  </si>
  <si>
    <t>4/6 PLACE GASTON POITEVIN</t>
  </si>
  <si>
    <t>REFECTION   ETANCHEITE TERRASSE</t>
  </si>
  <si>
    <t>ENT GONCALVES</t>
  </si>
  <si>
    <t>(m) Carrelage</t>
  </si>
  <si>
    <t>CVERDIER</t>
  </si>
  <si>
    <t>IMPASSE SAINT QUENTIN N°13 ER.24286</t>
  </si>
  <si>
    <t>REFECTION CARRELAGE</t>
  </si>
  <si>
    <t>SOGESSAE</t>
  </si>
  <si>
    <t>(s) Portes gges</t>
  </si>
  <si>
    <t>SESTEBAN</t>
  </si>
  <si>
    <t>GARAGE - RUE JP SARTRE  - FISMES</t>
  </si>
  <si>
    <t>REFECTION  DE GARAGE</t>
  </si>
  <si>
    <t>(p) Toitures</t>
  </si>
  <si>
    <t>CHAMPAUBERT</t>
  </si>
  <si>
    <t>RÉFECTION TOITURE TUILE</t>
  </si>
  <si>
    <t>BUCZEK  S.A.S</t>
  </si>
  <si>
    <t>GARAGE CHEYSSON</t>
  </si>
  <si>
    <t>REFECTIONS FUITES (DEVIS WAGNER) +BUDJET SPÉ</t>
  </si>
  <si>
    <t>GAYET AGENCE WAGNER</t>
  </si>
  <si>
    <t>(z) Electricité</t>
  </si>
  <si>
    <t>RUE MENDES FRANCE/LUTHER KING/ SARTRE - FISMES - 1 ET 3 KING (17 LOGTS)</t>
  </si>
  <si>
    <t>REMISE EN SÉCURITÉ ÉLECTRIQUE + CONSUEL</t>
  </si>
  <si>
    <t>S4C</t>
  </si>
  <si>
    <t>DEVIS S4C</t>
  </si>
  <si>
    <t>ANCIEN PAVILLON TQX (34 LOGTS)</t>
  </si>
  <si>
    <t>REMPL PORTE PALIÈRE IND</t>
  </si>
  <si>
    <t>AGNESINA</t>
  </si>
  <si>
    <t>DEVIS AGNESINA</t>
  </si>
  <si>
    <t>COURRIER</t>
  </si>
  <si>
    <t xml:space="preserve">  ALLEE MENDES FRANCE</t>
  </si>
  <si>
    <t>ENTRTIEN TOITURE REPRISE ZINC</t>
  </si>
  <si>
    <t>PLANIFIES</t>
  </si>
  <si>
    <t>DEVIS GAYET À OBTENIR</t>
  </si>
  <si>
    <t>39-47 FRANÇOIS DOR</t>
  </si>
  <si>
    <t>REMPLACEMENT BAVETTES ZINC DISPARUES</t>
  </si>
  <si>
    <t>47 F. DOR  2 À 6 SCULPTEURS JACQUES</t>
  </si>
  <si>
    <t>REMPLACEMENT COLONNE EU/ WC PONCTUEL</t>
  </si>
  <si>
    <t>REIMS CHAUFFAGE</t>
  </si>
  <si>
    <t>MOSDOIT</t>
  </si>
  <si>
    <t>FISMETTES</t>
  </si>
  <si>
    <t>REMPLACEMENT DE RADIATEURS</t>
  </si>
  <si>
    <t>1/15 RUE MORVAN LEBESQUE</t>
  </si>
  <si>
    <t>REMPLACEMENT DES PORTES DE LOGEMENTS</t>
  </si>
  <si>
    <t>8E CHEYSSON</t>
  </si>
  <si>
    <t>REMPLACEMENT DES PORTES BOX</t>
  </si>
  <si>
    <t>METALLERIE MARTHON</t>
  </si>
  <si>
    <t>RUE JEAN JAURES, - FISMES</t>
  </si>
  <si>
    <t>REMPLACEMENT DES VR</t>
  </si>
  <si>
    <t>REPORT 2027DEVIS ALLSUN</t>
  </si>
  <si>
    <t>2 POISSONNIERS</t>
  </si>
  <si>
    <t>REMPLACEMENT PORTE CAVE</t>
  </si>
  <si>
    <t>ANNULE BUDGET CAVES 2026</t>
  </si>
  <si>
    <t>GARAGE 129 CHAMP PAVEAU</t>
  </si>
  <si>
    <t>REMPLACEMENT PORTE D ACCES PIETON GARAGE+ VOIR AUTRE PARKING</t>
  </si>
  <si>
    <t>14 RUE ARLETTE RÉMIA - REIMS</t>
  </si>
  <si>
    <t>REMPLACEMENT PORTE HALL</t>
  </si>
  <si>
    <t>ARTI PRODUCTION</t>
  </si>
  <si>
    <t>4  RUE MORVAN LEBESQUE</t>
  </si>
  <si>
    <t>REMPLACEMENT PORTE LOGEMENT AVANT ET ARRIÈRE</t>
  </si>
  <si>
    <t>8 RUE EMILE CHEYSSON - REIMS (8ED - ER.E0194.001.008B)</t>
  </si>
  <si>
    <t>REMPLACEMENT PORTES CAVES</t>
  </si>
  <si>
    <t>LUTHER KING - FISMES</t>
  </si>
  <si>
    <t>REMPLACEMENT PORTES DE BOX</t>
  </si>
  <si>
    <t>LIGNE 396 : ANNULE</t>
  </si>
  <si>
    <t>REMPLACEMENT PORTES PALIERES</t>
  </si>
  <si>
    <t xml:space="preserve">TINQUEUX SUD - INDIVIDUELS : </t>
  </si>
  <si>
    <t>8 À 44 - RUE DU GENERAL MARCEAU</t>
  </si>
  <si>
    <t>23 À 55 - RUE DU GENERAL MARCEAU - T</t>
  </si>
  <si>
    <t>REMPLACEMENT PORTES D'ENTRÉE</t>
  </si>
  <si>
    <t>66/68 CLOVIS</t>
  </si>
  <si>
    <t>REMPLACEMENT PORTES HALLS ET BAL</t>
  </si>
  <si>
    <t>25 25 BIS HINCMAR</t>
  </si>
  <si>
    <t>33 À 47 RUE FRANÇOIS DOR ET 2 À 6 RUE SCULPTEURS JACQUES - REIMS</t>
  </si>
  <si>
    <t>REMPLACEMENT PORTES PALIÉRES</t>
  </si>
  <si>
    <t>2, 3, 4 ET 8 PLACE JEAN PAUL SARTRE - FISMES</t>
  </si>
  <si>
    <t>REMPLACEMENT PORTES PALIÈRES</t>
  </si>
  <si>
    <t>MARTIN DU GARD</t>
  </si>
  <si>
    <t>REMPLACEMENT PORTES PALIÈRES SELON MARCHÉ</t>
  </si>
  <si>
    <t>LIGNE 422 AGNESINA</t>
  </si>
  <si>
    <t>INDIVIDUELS 98 PAV - CHAMP PAVEAU - TINQUEUX</t>
  </si>
  <si>
    <t>REMPLACEMENT RÉSEAU CHAUFFAGE THERMIQUE (POINT À FAIRE AVEC LA THERMIQUE)</t>
  </si>
  <si>
    <t>ANNULE REHAB 2029</t>
  </si>
  <si>
    <t>FOYER - GENDARMERIE GUEUX - 33 AV. DE REIMS - GUEUX - ER.43034</t>
  </si>
  <si>
    <t>REMPLACEMENT RIDEAU MÉTALLIQUEGARAGE BRIGADE</t>
  </si>
  <si>
    <t>KDB FRANCE</t>
  </si>
  <si>
    <t>REPARATION FUITE SUR RESEAU AEP PAVILLON 2</t>
  </si>
  <si>
    <t>SADE CGTH - CT REIMS</t>
  </si>
  <si>
    <t>17.03.2026 - DEVIS EN COURS - REIMS CHAUFFAGE</t>
  </si>
  <si>
    <t>TINQUEUX SUD - INDIVIDUELS</t>
  </si>
  <si>
    <t>RÉNOVATION DE TOITURES</t>
  </si>
  <si>
    <t>ECAILLE, CORDIER, CHAMPAUBERT</t>
  </si>
  <si>
    <t>SECURITE ELECTRIQUE MISE CONFORMITE + CONSUEL</t>
  </si>
  <si>
    <t>ANNULE LIGNE 383</t>
  </si>
  <si>
    <t>18/20/28 VENISE</t>
  </si>
  <si>
    <t>TOITURE / ETANCHEITE REFECTION TOTALE OU PARTIELLE</t>
  </si>
  <si>
    <t>FISMETTES - FISMES</t>
  </si>
  <si>
    <t>TOITURES FISMETTES</t>
  </si>
  <si>
    <t>MONOD  HAUBETTE</t>
  </si>
  <si>
    <t>TRAVAUX ETANCHEITE</t>
  </si>
  <si>
    <t>STAND BY</t>
  </si>
  <si>
    <t>VMC</t>
  </si>
  <si>
    <t>1 RUE DE LA FONDERIE</t>
  </si>
  <si>
    <t>VOLETS COULISSANTS (CONTRÔLE + MISE EN SÉCURITÉ)</t>
  </si>
  <si>
    <t>STAND BY ET ÉTUDE PLUS APPROFONDIE À MENER</t>
  </si>
  <si>
    <t>IMPASSE SAINT QUENTIN N°19 ER.24289</t>
  </si>
  <si>
    <t>RÉFECTION TOITURE BAC ACIER</t>
  </si>
  <si>
    <t>DÉJÀ FAIT</t>
  </si>
  <si>
    <t>(a) Maçonnerie</t>
  </si>
  <si>
    <t>S09</t>
  </si>
  <si>
    <t>MGALICHET</t>
  </si>
  <si>
    <t>7 RUE DU 372ÈME RALF - CHÂLONS</t>
  </si>
  <si>
    <t>GT</t>
  </si>
  <si>
    <t>SHERAULT</t>
  </si>
  <si>
    <t>RÉPARATION ÉCLATS BÉTON FAÇADE</t>
  </si>
  <si>
    <t>BELLEZZA SARL</t>
  </si>
  <si>
    <t>INTERVENTION SEPT</t>
  </si>
  <si>
    <t>KCHOPLIN</t>
  </si>
  <si>
    <t>6 ET 8 AV DE VALMY - CHÂLONS</t>
  </si>
  <si>
    <t>RÉFECTION BALCONS COPRO</t>
  </si>
  <si>
    <t>SDC RESIDENCE NEPTUNE</t>
  </si>
  <si>
    <t>(b) Abords</t>
  </si>
  <si>
    <t>DIFFU MOULIN/PERTHUIS/OEHMICHEN - CHÂLONS EN CHAMPAGNE</t>
  </si>
  <si>
    <t>RÉFECTION DES ALLÉES DE GARAGE (X6)</t>
  </si>
  <si>
    <t>120 CAMPS D'ATTILA ER.22521 - CHÂLONS</t>
  </si>
  <si>
    <t>REFAIRE MARCHE DEVANT ENTRÉE PAVILLON</t>
  </si>
  <si>
    <t>18 ET 36 GODEAU - CHÂLONS EN CHAMPAGNE</t>
  </si>
  <si>
    <t>RÉFECTION DES ALLÉES DE GARAGE</t>
  </si>
  <si>
    <t>(h) Cages</t>
  </si>
  <si>
    <t>1 À 19 RUE D'ORLÉANS - CHÂLONS</t>
  </si>
  <si>
    <t>RÉFECTION CAGE D'ESCALIER AUX 9 ET 15</t>
  </si>
  <si>
    <t>BAUER PEINTURE</t>
  </si>
  <si>
    <t>REMPLACEMENT PORTES DE GAINE AU 09</t>
  </si>
  <si>
    <t>MENUISERIE RIBERE</t>
  </si>
  <si>
    <t>(g) Halls</t>
  </si>
  <si>
    <t>3 RUE D'ORLÉANS - CHÂLONS</t>
  </si>
  <si>
    <t>REMPLACEMENT DE LA PORTE DE HALL DU 3</t>
  </si>
  <si>
    <t>REPORT 2027</t>
  </si>
  <si>
    <t>CRI</t>
  </si>
  <si>
    <t>REIMS - ARLINGTON N°5-7 (ER.B1307.001)</t>
  </si>
  <si>
    <t>LAC</t>
  </si>
  <si>
    <t>ETANCHEITÉ - ENTRETIEN ET RÉFECTION  TOIT TERRASSE</t>
  </si>
  <si>
    <t>PERENITOIT</t>
  </si>
  <si>
    <t>27/01: DDE RECHERCHE FUITE ATTILA (OS5025231 INFILTRATION ER.25901)</t>
  </si>
  <si>
    <t>27/01: DEVIS ETS (ATTILA) SUITE OS5005105 (RECHERCHE DE FUITE INFILTRATION ER.25889)</t>
  </si>
  <si>
    <t>26/01 : EMAIL CRI/LAC : ENVOI RAPPORT + DEVIS WAGNER SUITE INFILTRATION ER.25901</t>
  </si>
  <si>
    <t>(d) Espaces Ext</t>
  </si>
  <si>
    <t>REIMS - RUE CHEMIN VERT 6-10 (ER.B1283.001)</t>
  </si>
  <si>
    <t>RÉFECTION TERRASSE (ER.25574)</t>
  </si>
  <si>
    <t>FG</t>
  </si>
  <si>
    <t>LAON BLAVIER</t>
  </si>
  <si>
    <t>ADF INTERPHONIE</t>
  </si>
  <si>
    <t>SDC LAON BLAVIER</t>
  </si>
  <si>
    <t>CDACOSTA</t>
  </si>
  <si>
    <t>2TER PICARDIE - EPERNAY (ER.60304)</t>
  </si>
  <si>
    <t>REPRISE ETANCHEITE SOCLE CAISSON VMC ET REMPLACEMENT PLATINE EP</t>
  </si>
  <si>
    <t>VSERANNE</t>
  </si>
  <si>
    <t>15 ETTLINGEN - EPERNAY</t>
  </si>
  <si>
    <t>REMPLACEMENT DESEMFUMAGE HS</t>
  </si>
  <si>
    <t xml:space="preserve">PRISE EN CHARGE DE LA FACTURE PAR LE SINISTRE / GORETI </t>
  </si>
  <si>
    <t>TRANSFERER FACTURE A MELANIE</t>
  </si>
  <si>
    <t>(i) Electricité</t>
  </si>
  <si>
    <t>S01</t>
  </si>
  <si>
    <t>ABACH</t>
  </si>
  <si>
    <t>TOUS ILOTS 8 HODIN 04B</t>
  </si>
  <si>
    <t>CHC</t>
  </si>
  <si>
    <t>REPRISE VR SOLAIRE</t>
  </si>
  <si>
    <t>ALLSUN PRODUCTIONS</t>
  </si>
  <si>
    <t>TOUS ILOTS 10 URVILLE 03C</t>
  </si>
  <si>
    <t>REPROGRAMMATION VR</t>
  </si>
  <si>
    <t>S16</t>
  </si>
  <si>
    <t>EFOOS</t>
  </si>
  <si>
    <t>CYPRÉS - EGLANTINE</t>
  </si>
  <si>
    <t>RÉFECTION CANALISATION EU</t>
  </si>
  <si>
    <t>SAUREL STEPHANE</t>
  </si>
  <si>
    <t>S13</t>
  </si>
  <si>
    <t>VAN</t>
  </si>
  <si>
    <t>DOUZY LES PETITES GREVES</t>
  </si>
  <si>
    <t>FDM</t>
  </si>
  <si>
    <t>REMPLACEMENT VMC</t>
  </si>
  <si>
    <t>LG ELEC</t>
  </si>
  <si>
    <t>ILOT H COLOMB/URVILLE/ARGO</t>
  </si>
  <si>
    <t>REMPL PORTE ARR 4 COLOMB</t>
  </si>
  <si>
    <t>ANOUVION</t>
  </si>
  <si>
    <t>OUM KALSOUM/BIZET (ER.26515 ER.26517 ER.26540 A PRIORISER)</t>
  </si>
  <si>
    <t>REMPL CARRELAGE PAR SOL PVC ER.26525</t>
  </si>
  <si>
    <t>MSBI</t>
  </si>
  <si>
    <t>REMPL CARRELAGE PAR SOL PVC ER.26517</t>
  </si>
  <si>
    <t>CMN</t>
  </si>
  <si>
    <t>7 ALLÉE DES TROENES - DORMANS (ER.20385)</t>
  </si>
  <si>
    <t>REPARATION TOITURE GARAGE</t>
  </si>
  <si>
    <t>REMIA</t>
  </si>
  <si>
    <t>ETANCHÉITÉ DES DESCENTES EP TRAVERSANTES BALCON ( À DENSIFIER)</t>
  </si>
  <si>
    <t>À FAIRE SUR UNE TRAME À FAIRE</t>
  </si>
  <si>
    <t>COURLANCY</t>
  </si>
  <si>
    <t>REPRISES ÉPAUFRURES BALCONS/FACADES</t>
  </si>
  <si>
    <t>DEVIS NICOLETTA</t>
  </si>
  <si>
    <t>1 ET 3 RUE PASTEUR</t>
  </si>
  <si>
    <t>CLOTURE DEVANT LE PAVILLON</t>
  </si>
  <si>
    <t>DEVIS A DEMANDE A A2P</t>
  </si>
  <si>
    <t>MAISON RUE MARGUERITE HARANG</t>
  </si>
  <si>
    <t>TRAVAUX REPRISE TOITURE TERRASSE ARRIÈRE PORCHE</t>
  </si>
  <si>
    <t>DEVIS MARCHAND ET À PROGRAMMER EN 2027</t>
  </si>
  <si>
    <t>BATTERIE DE GARAGE RUE SAINT LAURENT</t>
  </si>
  <si>
    <t>FINALISATION TRAVAUX ÉTAT TOITURE GARAGE</t>
  </si>
  <si>
    <t>3 HINCMAR</t>
  </si>
  <si>
    <t>CREATION VMC ET REPRISE PLAFOND SDB 3 LOGEMENTS</t>
  </si>
  <si>
    <t>À FAIRE BUCZEK OU MUST</t>
  </si>
  <si>
    <t>33 PLACE BORIS VIAN</t>
  </si>
  <si>
    <t>PORTE PIÉTON MÉTALIQUE ARRIÈRE HS</t>
  </si>
  <si>
    <t>(e) Divers</t>
  </si>
  <si>
    <t>EMBELLISSEMENT PAVILLON SUITE HUMIDITÉ</t>
  </si>
  <si>
    <t>25/09/2026 - RDV DEVIS 14H</t>
  </si>
  <si>
    <t>14.09.2026: DEMANDE DE DEVIS À RENODEC</t>
  </si>
  <si>
    <t>01/09/2026: DEMANDE A LA GENDARMERIE SI TJRS D'ACTUALITE (MAX)</t>
  </si>
  <si>
    <t>RELANCER MAXIME</t>
  </si>
  <si>
    <t>30/32 RUE DE LA LIBERTÉ - TINQUEUX</t>
  </si>
  <si>
    <t>REMPLACEMENT BATTERIES BAL</t>
  </si>
  <si>
    <t>TFOURNIER</t>
  </si>
  <si>
    <t>2 ESP J RICHARD</t>
  </si>
  <si>
    <t>RÉALIMENTATION DE LA CHAUDIÈRE</t>
  </si>
  <si>
    <t>PDP ENVOYÉ LE 3/2/26</t>
  </si>
  <si>
    <t>S10</t>
  </si>
  <si>
    <t>TGAMIETTE</t>
  </si>
  <si>
    <t>89 ALLEE DE LA PYRAMIDE - NANDY</t>
  </si>
  <si>
    <t>HALLEL</t>
  </si>
  <si>
    <t>TRAVAUX SUR COUVERTURE</t>
  </si>
  <si>
    <t>ETABLISSEMENTS LECUYER</t>
  </si>
  <si>
    <t>À PASSER SUR CP SPÉCIFIQUE</t>
  </si>
  <si>
    <t>LTEIXEIRA</t>
  </si>
  <si>
    <t>82 ET 84 RUE D'ANGOULEME, CORBEIL-ESSONNES</t>
  </si>
  <si>
    <t>FOURNITURE ET POSE DE TAPIS À LAMES</t>
  </si>
  <si>
    <t>INCLUS DANS BDC N°5022211</t>
  </si>
  <si>
    <t>36 ET 36B RUE DE COURLANCY (ER.B0181.001)</t>
  </si>
  <si>
    <t>REPRISE AMENAGEMENT EXTÉRIEUR</t>
  </si>
  <si>
    <t>IDVERDE (ISS EV)</t>
  </si>
  <si>
    <t>CLAMARRE</t>
  </si>
  <si>
    <t>27 RUE PAUL SCHLEISS (ER.17140)</t>
  </si>
  <si>
    <t>REFECTION DU MUR DU GARAGE</t>
  </si>
  <si>
    <t>TEH -TRADITION  ESPACE HABITAT</t>
  </si>
  <si>
    <t>04/05/2026: DEMANDE DE DEVIS A TEH</t>
  </si>
  <si>
    <t>06/05/2026 / SEPTEMBRE A LA DEMANDE DE LA LOCATAIRE</t>
  </si>
  <si>
    <t>17/19/21 ET 21 BIS RUE PAUL SCHLEISS + DIVERS</t>
  </si>
  <si>
    <t>REFECTION TOITURE PAVILLON ET GARAGE</t>
  </si>
  <si>
    <t>NAM</t>
  </si>
  <si>
    <t>122 RUE EDMOND ROSTAND (ER.B0287.004)</t>
  </si>
  <si>
    <t>REMPLACEMENT DE LA PORTE HALL</t>
  </si>
  <si>
    <t>ARRIÈRE MARCEL CHATTON</t>
  </si>
  <si>
    <t>POSE DE DALLE ET BAL</t>
  </si>
  <si>
    <t>AFOUCHET</t>
  </si>
  <si>
    <t>7 RUED E LA GARENNE - ATHIS</t>
  </si>
  <si>
    <t>QTRIBAULT</t>
  </si>
  <si>
    <t>VMC HYGRO B</t>
  </si>
  <si>
    <t>VENTIL'PRO'CONCEPT</t>
  </si>
  <si>
    <t>16 RUE DE LA RUCHE - RDC DROIT - EPERNAY</t>
  </si>
  <si>
    <t>EMBELLISSEMENT SUITE REMONTEE CAPILAIRE</t>
  </si>
  <si>
    <t>BS ENTREPRISE</t>
  </si>
  <si>
    <t>1-2/4 PIERRE MAÎTRE-CHÂLONS EN CHAMPAGNE</t>
  </si>
  <si>
    <t>RÉFECTION CAGE 2 (REMPLACEMENT CARRELAGES SUR MURS)</t>
  </si>
  <si>
    <t>CPETIT</t>
  </si>
  <si>
    <t>7, 8, 9, 11, 16 RUE DE VAUCANSON - CHÂLONS</t>
  </si>
  <si>
    <t>LESSIVAGE FAÇADES ET DÉMOUSSAGE TOITURE(5 PAVILLONS)</t>
  </si>
  <si>
    <t>REPORT 2028</t>
  </si>
  <si>
    <t>1, 13, 15, 25, 27 BLD AMITIÉ ENTRE LES PEUPLES - CHALONS EN CHAMPAGNE</t>
  </si>
  <si>
    <t>RAVALEMENT DES PAVILLONS 1 ET 13 ET DEMOUSSAGE</t>
  </si>
  <si>
    <t>13 ET 15 RUE LOYER - CHÂLONS</t>
  </si>
  <si>
    <t>REMISE EN PEINTURE HALL 13 LOYER</t>
  </si>
  <si>
    <t>2 À 6 RUE HENRI ROULOT - HAUSSIMONT</t>
  </si>
  <si>
    <t>REMISE EN PEINTURE DES HALL</t>
  </si>
  <si>
    <t>12 RUE RÉCAMIER - CHÂLONS EN CHAMPAGNE</t>
  </si>
  <si>
    <t>POSE DE VOLETS BOIS BATTANTS AU DERNIERS ÉTAGE</t>
  </si>
  <si>
    <t>CROIX DAMPIERRE - CHÂLONS</t>
  </si>
  <si>
    <t>REMPLACEMENT LUMINAIRES CAVES AUX 2 DAC ET 4 EXPO</t>
  </si>
  <si>
    <t>1 RUE CHARCOT - CHÂLONS</t>
  </si>
  <si>
    <t>RÉFECTION DES DOUCHES (X10)</t>
  </si>
  <si>
    <t>REPORT 2026</t>
  </si>
  <si>
    <t>4 AV DU GAL PATTON - BÂT A - CHÂLONS</t>
  </si>
  <si>
    <t>REMPLACEMENT PETITE BAIGNOIRE PAR DOUCHE 1/3</t>
  </si>
  <si>
    <t>POSE DE SÉPARATIONS BALCON</t>
  </si>
  <si>
    <t>P2M</t>
  </si>
  <si>
    <t>(y) amenagt ext</t>
  </si>
  <si>
    <t>6 ET 8 RUE D'ARMONVILLE - CHÂLONS</t>
  </si>
  <si>
    <t>REMPLACEMENT GRILLAGE</t>
  </si>
  <si>
    <t>RÉFECTION BANDE DE RIVES</t>
  </si>
  <si>
    <t>GHERBRETEA</t>
  </si>
  <si>
    <t>RUE D'ALEMBERT ET JEAN JACQUES ROUSSEAU, SGDB</t>
  </si>
  <si>
    <t>PEINTURE DES TAGS EXTÉRIEURS</t>
  </si>
  <si>
    <t>PRESTIGE PARTNERS</t>
  </si>
  <si>
    <t>PEINTURE DES LOGEMENTS SUITE ABSENCE VMC</t>
  </si>
  <si>
    <t>MASCIA FRERES</t>
  </si>
  <si>
    <t>RUE EMILE ZOLA, CORBEIL</t>
  </si>
  <si>
    <t>FOURNITURE ET POSE DE TOITURE LOCAUX POUBELLES</t>
  </si>
  <si>
    <t>HDC BATIMENT</t>
  </si>
  <si>
    <t>(c) Isolation</t>
  </si>
  <si>
    <t>63 PROMENADE DES PRÈS, ETAMPES</t>
  </si>
  <si>
    <t>ISOLATION DES LOGEMENTS RDC</t>
  </si>
  <si>
    <t>ANNULE</t>
  </si>
  <si>
    <t>ASEH</t>
  </si>
  <si>
    <t>34 RUE SAINT-SAENS, SMSO</t>
  </si>
  <si>
    <t>DÉPOSE DE BANCS ET POSE DE GRILLAGES RIGIDES AUTOUR DES JARDINIÈRES (ANTI-SQUAT)</t>
  </si>
  <si>
    <t>5 RUE SAINT-SAENS, SMSO</t>
  </si>
  <si>
    <t>MISE EN PLACE D'UNE PEINTURE DE SOLS</t>
  </si>
  <si>
    <t>TERRASSE CÉSAR FRANCK, SAINT-MICHEL-SUR-ORGE</t>
  </si>
  <si>
    <t>RÉFECTION DE LA SIGNALÉTIQUE DU PARKING SOUTERRAIN</t>
  </si>
  <si>
    <t>VU AVEC ERIC</t>
  </si>
  <si>
    <t>TERRASSE CÉSAR FRANCK, SMSO</t>
  </si>
  <si>
    <t>MISE EN PEINTURE DES AUVENTS DE HALLS</t>
  </si>
  <si>
    <t>REPRISE PEINTURE DES TAGS</t>
  </si>
  <si>
    <t>ALEFRANCOI</t>
  </si>
  <si>
    <t>1 ALLÉE DE LA HALLE, MONTHLERY</t>
  </si>
  <si>
    <t>EVIZIO</t>
  </si>
  <si>
    <t>25 RÉSIDENCE DE LA VAUCOULEUR, LES ULIS</t>
  </si>
  <si>
    <t>POSE D'UN FAUX-PLAFOND LOCAL VÉLO ET POUBELLE</t>
  </si>
  <si>
    <t>8 PLACE LOUIS MEYER, MONTHLERY</t>
  </si>
  <si>
    <t>ENTRETIEN DE LA COUVERTURE</t>
  </si>
  <si>
    <t>1 ALLÉE DE LA HALLE, MONTLHERY</t>
  </si>
  <si>
    <t>MISE EN PLACE D'UN CONTRÔLE D'ACCÈS VIGIK PORTE SORTIE PARKING</t>
  </si>
  <si>
    <t>10 RUE DES DEUX PONTS - LA FERTE ALAIS</t>
  </si>
  <si>
    <t>AUDIT ET TRAVAUX DE COUVERTURES</t>
  </si>
  <si>
    <t>A FAIRE EN 2026</t>
  </si>
  <si>
    <t>82, 84 RUE D'ANGOULEME, CORBEIL-ESSONNES</t>
  </si>
  <si>
    <t>MISE EN CONFORMITÉ DES INSTALLATIONS ÉLECTRIQUES</t>
  </si>
  <si>
    <t>MISE EN PLACE DE GLOBES À DÉTECTION</t>
  </si>
  <si>
    <t>6 RUE DE LA CHAPELLE, MONTHLERY</t>
  </si>
  <si>
    <t>PEINTURE DE LA CAGE D'ESCALIERS</t>
  </si>
  <si>
    <t>16 RUE JEAN JACQUES ROUSSEAU, SGDB</t>
  </si>
  <si>
    <t>POSE D'UNE FAIENCE MURALE DANS LE HALL</t>
  </si>
  <si>
    <t>FOURNITURE ET POSE DE FAIENCE MURALE POUR LE SAS ASCENSEURS</t>
  </si>
  <si>
    <t>12, 14 ET 16 RUE DE LA PAPETERIE, CORBEIL-ESSONNES</t>
  </si>
  <si>
    <t>3 ET 5 RUE VOLTAIRE, SGDB</t>
  </si>
  <si>
    <t>MISE EN PEINTURE DES PARTIES COMMUNES</t>
  </si>
  <si>
    <t>26 - 32 RUE CHABRIER, SMSO</t>
  </si>
  <si>
    <t>ANNULÉ À REPORTER POUR 2027</t>
  </si>
  <si>
    <t>1, 5 TERRASSE CÉSAR FRANCK, SMSO</t>
  </si>
  <si>
    <t>POSE DE FAIENCE DANS LES HALLS</t>
  </si>
  <si>
    <t>3 RUE DES TAMARIS, QUINCY-SOUS-SÉNART</t>
  </si>
  <si>
    <t>RÉFECTION DU HALL ET DES PARTIES COMMUNES</t>
  </si>
  <si>
    <t>SCORE</t>
  </si>
  <si>
    <t>8, 20 ET 22 RUE DE LA LIBERTÉ, SGDB</t>
  </si>
  <si>
    <t>POSE D'UNE FAIENCE MURALE DANS LES HALLS</t>
  </si>
  <si>
    <t>9 AVENUE HOCHE, ARPAJON</t>
  </si>
  <si>
    <t>REMPLACEMENT DES REVÊTEMENTS DE SOL</t>
  </si>
  <si>
    <t>RÉFECTION DES HALLS ET DES PARTIES COMMUNES</t>
  </si>
  <si>
    <t>AVENUE SAINT SAENS, SMSO</t>
  </si>
  <si>
    <t>FOURNITURE ET POSE DE FAIENCE MURALE</t>
  </si>
  <si>
    <t>2 AU 8 RUE DE LA LIBERTÉ, SGDB</t>
  </si>
  <si>
    <t>ARRACHAGE DES ARBUSTES</t>
  </si>
  <si>
    <t>VERESPACE</t>
  </si>
  <si>
    <t>REMPLACEMENT DES VITRAGES LOGGIAS</t>
  </si>
  <si>
    <t>A2S</t>
  </si>
  <si>
    <t>RÉFECTION DE L'ÉTANCHÉITÉ LIQUIDES DES COURSIVES</t>
  </si>
  <si>
    <t>ASANDRIEU</t>
  </si>
  <si>
    <t>REIMS - PARC JACQUART (ER.T0009)</t>
  </si>
  <si>
    <t>RÉFECTION DES OUVRAGES BOIS (PONTS, ROTONDE)(3/3)</t>
  </si>
  <si>
    <t>EDIVERT</t>
  </si>
  <si>
    <t>26/01:ENT.TEL LAC/M.CATTE: DDE DATES INTERV PREV.</t>
  </si>
  <si>
    <t>CREATION DE 5 VMC DANS LES 5 PAVILLONS NON EQUIPE</t>
  </si>
  <si>
    <t>39-47 FRANÇOIS D'OR</t>
  </si>
  <si>
    <t>REMPLACEMENT COLONNE EU</t>
  </si>
  <si>
    <t>9 RUE D'ALEMBERT - SGDB</t>
  </si>
  <si>
    <t>REMPLACEMENT D'UNE FONTE</t>
  </si>
  <si>
    <t>REIMS - RUE HUET 12-14 / BETHLEEM 6 AU 14 / FERRAND 17-15 (9 ENTRÉES)</t>
  </si>
  <si>
    <t>ER.10012 - REMPLCMT MEXT BOIS</t>
  </si>
  <si>
    <t>LA SERRURERIE REMOISE (SRK)</t>
  </si>
  <si>
    <t>10/06:VU ETS : DATE INTERV PREV AVANT CONGÉ D'ÉTÉ DE L'ETS</t>
  </si>
  <si>
    <t>ER.21274 - CRÉATION DOUCHE</t>
  </si>
  <si>
    <t>4 AV DU GAL PATTON - BAT A - CHALONS</t>
  </si>
  <si>
    <t>ER.21294 - CREATION DOUCHE</t>
  </si>
  <si>
    <t>2 AVENUE DE LA LIBERTE, SGDB</t>
  </si>
  <si>
    <t>REMPLACEMENT D'UNE FONTE EN CAVE</t>
  </si>
  <si>
    <t>S11</t>
  </si>
  <si>
    <t>ALOTHORE</t>
  </si>
  <si>
    <t>AV. FRANCOIS MITTERRAND, CHELLES</t>
  </si>
  <si>
    <t>HCHEDLY</t>
  </si>
  <si>
    <t>REPRISE CARRELAGE MURAL SDB</t>
  </si>
  <si>
    <t>À PASSER</t>
  </si>
  <si>
    <t>18 RUE DE VENISE REIMS</t>
  </si>
  <si>
    <t>PASSAGE CANALISATION APPARENT</t>
  </si>
  <si>
    <t>SAVELYS</t>
  </si>
  <si>
    <t>REIMS - MARIN LA MESLEE 2A (ER.B1357.001)</t>
  </si>
  <si>
    <t>REPARATION GAINE TELECOM POUR FO</t>
  </si>
  <si>
    <t>12/03: DEVIS ETS TRANSMIS PAR CDL LE 09/03</t>
  </si>
  <si>
    <t>94 RUE LA PEROUSE ER.06246</t>
  </si>
  <si>
    <t>REPRISE DE LA PLACETTE DE PARKING Y COMPRIS PORTE METALLIQUE D'ACCES JARDIN</t>
  </si>
  <si>
    <t>GRANDCOLAS</t>
  </si>
  <si>
    <t>TOUS ILOTS</t>
  </si>
  <si>
    <t>CLP DEPANNAGE</t>
  </si>
  <si>
    <t>TOUS ILOTS 9 PASCAL 01A ER.05327</t>
  </si>
  <si>
    <t>TOUS ILOTS 9 PASCAL 02A ER05329</t>
  </si>
  <si>
    <t>CFILALI</t>
  </si>
  <si>
    <t>SDC FLEURS DE CHAMPAGNE</t>
  </si>
  <si>
    <t>ADF VMC</t>
  </si>
  <si>
    <t>SDC FLEUR DE CHAMPAGNE</t>
  </si>
  <si>
    <t>SDC LUNDY TEMPLIERS</t>
  </si>
  <si>
    <t>CURAGE DES RÉSEAUX</t>
  </si>
  <si>
    <t>SC LUNDY TEMPLIER 1003</t>
  </si>
  <si>
    <t>CBUSCHMANN</t>
  </si>
  <si>
    <t>15 ST JULIEN ER.30503</t>
  </si>
  <si>
    <t>REMPLACEMENT DES VELUX DU LOGEMENT Y COMPRIS STORES ET VR SOLAIRES</t>
  </si>
  <si>
    <t>RUE D'ALEMBERT, SGDB</t>
  </si>
  <si>
    <t>MISE EN PLACE D'ENROBÉ DEVANT LES HALLS EN REMPLACEMENT DES ESPACES VERTS</t>
  </si>
  <si>
    <t>RUE DE LA LIBERTÉ, SGDB</t>
  </si>
  <si>
    <t>TRAVAUX D'ESPACES VERTS</t>
  </si>
  <si>
    <t>SAINT HUBERT, SGDB</t>
  </si>
  <si>
    <t>REMPLACEMENT DE FONTES</t>
  </si>
  <si>
    <t>10 RUE JULIAN GRIMAU, SGDB</t>
  </si>
  <si>
    <t>REMPLACEMENT DES BOÎTE AUX LETTRES EXTÉRIEURS</t>
  </si>
  <si>
    <t>ENTRETIEN DES TOITURES TERRASSES</t>
  </si>
  <si>
    <t>TRAVAUX DE PLOMBERIE DANS LES VIDES SANITAIRES</t>
  </si>
  <si>
    <t>SARL CEP DEGORGEMENT</t>
  </si>
  <si>
    <t>ENTRETIEN DE LA TOITURE TERRASSE</t>
  </si>
  <si>
    <t>MISE EN PLACE DE CARRELAGE ET FAIENCE DANS LES LOCAUX OM</t>
  </si>
  <si>
    <t>5 RUE DES TAMARIS, QUINCY-SOUS-SÉNART</t>
  </si>
  <si>
    <t>MISE EN PLACE D'OCCULTATIONS POUR LES CLÔTURES</t>
  </si>
  <si>
    <t>TRAVAUX DIVERS POUR LE PARKING AÉRIEN</t>
  </si>
  <si>
    <t>38, 40, 44 ET 46 AVENUE SAINT-SAENS, SMSO</t>
  </si>
  <si>
    <t>RÉFECTION DES ENROBÉS</t>
  </si>
  <si>
    <t>REMPLACEMENT DES BAL</t>
  </si>
  <si>
    <t>ISOSYS</t>
  </si>
  <si>
    <t>ENTRETIENS DES TOITURES TERRASSES</t>
  </si>
  <si>
    <t>À REPORTER 2027</t>
  </si>
  <si>
    <t>9 PLACE MARCEL CARNÉ, SAINT-MICHEL-SUR-ORGE</t>
  </si>
  <si>
    <t>CURAGE DES RÉSEAUX EU</t>
  </si>
  <si>
    <t>À VOIR AVEC A. SEH</t>
  </si>
  <si>
    <t>CRÉATION D'UN LOCAL POUBELLE EXTÉRIEURE</t>
  </si>
  <si>
    <t>À REPORTER /POUR 2027 À OPTIMISER</t>
  </si>
  <si>
    <t>REMPLACEMENT DES PORTES DE BOX</t>
  </si>
  <si>
    <t>BUDGET SPECIFIQUE BOX</t>
  </si>
  <si>
    <t>4, 5, 6 ET 8 RUE RENE MICHEL, CHAUMES-EN-BRIE</t>
  </si>
  <si>
    <t>FLOCAGE PLANCHER HAUT DES SOUS-SOL  ( BATIMENT 4,5,6 ET 8)- ER.36420</t>
  </si>
  <si>
    <t>LECUYER</t>
  </si>
  <si>
    <t>PLACE THOMAS LE PILLEUR, SERRIS</t>
  </si>
  <si>
    <t>TRAVAUX SUR TOITURE</t>
  </si>
  <si>
    <t>LALLANIC</t>
  </si>
  <si>
    <t>73 AVENUE GAMBETTA, PARIS 20 ARR</t>
  </si>
  <si>
    <t>TRAVAUX DE PLOMBERIE LOGEMENT &amp; DEVIATION ALIMENTATION EF</t>
  </si>
  <si>
    <t>ABCP</t>
  </si>
  <si>
    <t>RUE DUPUY CROUZET, CHOISY-LE-ROI</t>
  </si>
  <si>
    <t>RÉPARATION RESEAU PLOMB - ER.29973</t>
  </si>
  <si>
    <t>OS POUR MISE EN SÉCURITÉ PAR AGENCE</t>
  </si>
  <si>
    <t>RUE DANIEL TOUSSAINT, VALENTON</t>
  </si>
  <si>
    <t>SÉPARATIFS ENTRE LOGEMENTS - ER.29915</t>
  </si>
  <si>
    <t>NON PRIS PAR GPA</t>
  </si>
  <si>
    <t>CMICHEL</t>
  </si>
  <si>
    <t>10  RUE DE STOCKHOLM, MONTEVRAIN</t>
  </si>
  <si>
    <t>REMPLACEMENT COUVERCLE REGARD</t>
  </si>
  <si>
    <t>OBENGOUA</t>
  </si>
  <si>
    <t>8 RUE PIERRE AUGUSTIN CARON, OTHIS</t>
  </si>
  <si>
    <t>DÉPLACEMENT DE UC DE POMPE HYDROCARBURE</t>
  </si>
  <si>
    <t>STANDBY : RECENSEMENT SSILLET ET CHC</t>
  </si>
  <si>
    <t>JBRANCO</t>
  </si>
  <si>
    <t>PL. PABLO PICASSO, CHAMPS-SUR-MARNE</t>
  </si>
  <si>
    <t>CONDAMNATION SOUS SOL</t>
  </si>
  <si>
    <t>10 RUE DE PARIS, COUPVRAY</t>
  </si>
  <si>
    <t>DÉMOUSSAGE ET ENTRETIEN COUVERTURE</t>
  </si>
  <si>
    <t>ANNU</t>
  </si>
  <si>
    <t>1 RUE D'ESBLY,  COUPVRAY</t>
  </si>
  <si>
    <t>STANDBY</t>
  </si>
  <si>
    <t>5 INDIV - RUE DE LA CLEF DES CHAMPS, MAGNY-LE-HONGRE - ER.39351</t>
  </si>
  <si>
    <t>ENTRETIEN / DÉMOUSSAGE COUVERTURES  - ER.39351</t>
  </si>
  <si>
    <t>AV. DE COEUILLY, LE PLESSIS-TREVISE</t>
  </si>
  <si>
    <t>10 INDIV - RUE DES REINETTES, VILLENEUVE-SAINT-DENIS</t>
  </si>
  <si>
    <t>DÉMOUSSAGE ET ENTRETIEN DES COUVERTURES</t>
  </si>
  <si>
    <t>ATT DEVIS</t>
  </si>
  <si>
    <t>MISE EN PEINTURE HALL ET CAGE D'ESCALIER ET PORTES PLACARDS</t>
  </si>
  <si>
    <t>LSRP</t>
  </si>
  <si>
    <t>ATT AJOUT FOURN.</t>
  </si>
  <si>
    <t>RUE DE MEAUX, VAUJOURS</t>
  </si>
  <si>
    <t>RÉFECTION DES REVÊTEMENTS DE SOLS - BAT B</t>
  </si>
  <si>
    <t>CDOSSANTOS</t>
  </si>
  <si>
    <t>10 RUE BONAPARTE, OZOIR-LA-FERRIÈRE</t>
  </si>
  <si>
    <t>PEINTURE PARTIES COMMUNES</t>
  </si>
  <si>
    <t>12 RUE BONAPARTE, OZOIR-LA-FERRIÈRE</t>
  </si>
  <si>
    <t>RUE DE LA CLEF DES CHAMPS, MAGNY-LE-HONGRE - ER.34600</t>
  </si>
  <si>
    <t>REMPLACEMENT TUILES SUITE INFILTRATION</t>
  </si>
  <si>
    <t>AV. MOLIERE, PL. DENIS DE CHAILLY, NANGIS</t>
  </si>
  <si>
    <t>DÉMOUSSAGE COUVERTURE</t>
  </si>
  <si>
    <t>DEVIS EVIZIO</t>
  </si>
  <si>
    <t>TRAVAUX COUVERTURE SUITE INFILTRATION MM</t>
  </si>
  <si>
    <t>ATT DEVIS OS</t>
  </si>
  <si>
    <t>14 RUE ROBERT THIBOUST 77700 SERRIS</t>
  </si>
  <si>
    <t>TRAVAUX SUR TOITURE ET REMPLACEMENT NOUES EN ZINC</t>
  </si>
  <si>
    <t>6/8/10 PLACE DES CORNILLES, CHESSY</t>
  </si>
  <si>
    <t>REMPLACEMENT SERRURERIE PORTE PIÉTONNE PARKING</t>
  </si>
  <si>
    <t>ATT D EVIZIO</t>
  </si>
  <si>
    <t>CONDAMNATION ET RÉAFFECTATION DU LOCAL VÉLO</t>
  </si>
  <si>
    <t>D EVIZIO</t>
  </si>
  <si>
    <t>(w) isolat extérieure</t>
  </si>
  <si>
    <t>5  PSG DES ECOLES, CHESSY - ER.26141</t>
  </si>
  <si>
    <t>TVX ISOLATION COMBLES -  ER.26141</t>
  </si>
  <si>
    <t>ETANCHEITE TOITURE GRAVILLONNEE</t>
  </si>
  <si>
    <t>9 RUE DE PARIS, COUPVRAY</t>
  </si>
  <si>
    <t>MISE EN PLACE 3 VOLETS BATTANTS - ER.26154</t>
  </si>
  <si>
    <t>IMPASSE CALVILLE, VILLENEUVE-SAINT-DENIS</t>
  </si>
  <si>
    <t>ENTRETIEN / REMPLACEMENT VOLETS BOIS</t>
  </si>
  <si>
    <t>2026 OU 2027</t>
  </si>
  <si>
    <t>4 RUE DU TOQUE BOIS, MAGNY-LE-HONGRE - ER.26169</t>
  </si>
  <si>
    <t>ISOLATION TOITURE DÉNUDÉE SUITE TRAVAUX MITOYENS</t>
  </si>
  <si>
    <t>A ANNULER</t>
  </si>
  <si>
    <t>6 RUE DU PRESSOIR, SERRIS</t>
  </si>
  <si>
    <t>RENOVATION GARDE-CORPS</t>
  </si>
  <si>
    <t>ITI OU ENDUIT ISOLANT</t>
  </si>
  <si>
    <t>POSE STOP PARK (12 PLACES)</t>
  </si>
  <si>
    <t>16 RUE BORDA ER.04416</t>
  </si>
  <si>
    <t>POSE MEUBLE VASQUE ET WC SURELEVE</t>
  </si>
  <si>
    <t>RULMET</t>
  </si>
  <si>
    <t>81 PEROUSE ER.07542</t>
  </si>
  <si>
    <t>MISE EN PLACE VMC</t>
  </si>
  <si>
    <t>GOMARD ELECTRICITE</t>
  </si>
  <si>
    <t>JUSTINE.CH</t>
  </si>
  <si>
    <t>LE CARMEL</t>
  </si>
  <si>
    <t>RABATTAGE VEGETATION A HAUTEUR CLOTURE MITOYENNE</t>
  </si>
  <si>
    <t>ARTOPIA REIMS</t>
  </si>
  <si>
    <t>MUL</t>
  </si>
  <si>
    <t>CROIX DU SUD</t>
  </si>
  <si>
    <t>REPRISE SALLE DE BAINS CLOISONS BOIS</t>
  </si>
  <si>
    <t>6 THIL</t>
  </si>
  <si>
    <t>REMPLACEMENT FENETRE SDB</t>
  </si>
  <si>
    <t>PDP ENVOYÉ</t>
  </si>
  <si>
    <t>20 RUE GODARD JEANSON - SAINT DIZIER</t>
  </si>
  <si>
    <t>TRAVAUX DE POMPAGE EU</t>
  </si>
  <si>
    <t>MALEZIEUX</t>
  </si>
  <si>
    <t>66 BOUCLE BELLE JOSEPHINE, MAGNY-LE-HONGRE</t>
  </si>
  <si>
    <t>REPRISE RESEAU VENTIL KOUDOU - ER.28705</t>
  </si>
  <si>
    <t>DEM ELEC</t>
  </si>
  <si>
    <t>14 ET 16 RUE ROBERT ADRIAN</t>
  </si>
  <si>
    <t>REPRISE ÉCOULEMENT DES EAUX EN FAÇADE</t>
  </si>
  <si>
    <t>LHARLAUT</t>
  </si>
  <si>
    <t>11 RUE DES DRAPIERS</t>
  </si>
  <si>
    <t>REMPLACEMENT VÉLUX</t>
  </si>
  <si>
    <t>AMO</t>
  </si>
  <si>
    <t>PARKING G2 TURENNE (ER.B0141.G02)</t>
  </si>
  <si>
    <t>NETTOYAGE PARTIES COMMUNES</t>
  </si>
  <si>
    <t>INDIVIDUELS MURIGNY</t>
  </si>
  <si>
    <t>REMPLACEMENT PP</t>
  </si>
  <si>
    <t>REIMS - VASNIER 23</t>
  </si>
  <si>
    <t>FO - REPRISE FOURREAU TELECOM</t>
  </si>
  <si>
    <t>14/09 : ENT.TEL LAC/ETS : INTERV A COMPTER DU 05/10</t>
  </si>
  <si>
    <t>2 (ER.09798)/ 8 (ER.09801) ALLÉE ELDAROFF ET 21 RUE SCHLEISS (ER.09787) + JACQUES DÉTRÉ / GILBERTE E</t>
  </si>
  <si>
    <t>NETTOYAGE ET APPLIQUE COUCHE ÉTANCHÉITÉ SUR FAÇADE/ISOLATION PIGNONS</t>
  </si>
  <si>
    <t>REFECTION DES SOLS PVC - PARTIES COMMUNES ETAGES (3/6)</t>
  </si>
  <si>
    <t>PVF</t>
  </si>
  <si>
    <t>01/07:VU LAC/ETS DELAI : PEINTURE 3SEM / SOL PVC 2SEM</t>
  </si>
  <si>
    <t>SCA</t>
  </si>
  <si>
    <t>10 COOK ER.E0069.001.010</t>
  </si>
  <si>
    <t>REMPLACEMENT PARTIE RESEAU EU FONTE QUI A CEDE</t>
  </si>
  <si>
    <t>EURO PLOMBERIE SARL</t>
  </si>
  <si>
    <t>115 C LESAGE</t>
  </si>
  <si>
    <t>TS TOITURE</t>
  </si>
  <si>
    <t>RUE PYRAMIDE/HELIOTROPES 6 NANDY</t>
  </si>
  <si>
    <t>REMPLACEMENT DES BAL HS</t>
  </si>
  <si>
    <t>FPRS MAILLARD</t>
  </si>
  <si>
    <t>S15</t>
  </si>
  <si>
    <t>EMARRONE</t>
  </si>
  <si>
    <t>2 RUE BÉGARD - VITRY LE FRANÇOIS</t>
  </si>
  <si>
    <t>RÉFECTION ÉTANCHÉITÉ ESCALIER</t>
  </si>
  <si>
    <t>THIRIOT</t>
  </si>
  <si>
    <t>6  RUE DU PRESSOIR, SERRIS - ER.26199</t>
  </si>
  <si>
    <t>RAMONAGE DES CONDUITS VMC (LOGEMENT AFFECTÉ : ER.26199)</t>
  </si>
  <si>
    <t>AVENUE DE SARIA, SERRIS</t>
  </si>
  <si>
    <t>REMPLACEMET POMPE DE RELEVAGE</t>
  </si>
  <si>
    <t>GAYET ENTREPRISE</t>
  </si>
  <si>
    <t>IMPASSE FARO, VILLENUEVE SAINT DENIS</t>
  </si>
  <si>
    <t>CHANGEMENT VOLETS EXTERIEURS - ER.26610</t>
  </si>
  <si>
    <t>101 RUE VICTOR CLAIRET, VARREDDES</t>
  </si>
  <si>
    <t>POSE STOP PARK (5 PLACES)</t>
  </si>
  <si>
    <t>2 RUE DUPUY CROUZET, CHOISY-LE-ROI</t>
  </si>
  <si>
    <t>ENTRETIEN TERRASSES GRAVILLONNÉES BAT C</t>
  </si>
  <si>
    <t>1 RUELLE DES FILLOIRS, DAMMARTIN-EN-GOELE</t>
  </si>
  <si>
    <t>POSE STOP PARK (9 PLACES)</t>
  </si>
  <si>
    <t>21 TER DES OULCHES, DAMMARTIN-EN-GOELE</t>
  </si>
  <si>
    <t>REMPLACEMENT POMPE RELEVAGE</t>
  </si>
  <si>
    <t>10 BIS RUE D'ORSOY, VARREDDES</t>
  </si>
  <si>
    <t>POSE STOP PARK (6 PLACES)</t>
  </si>
  <si>
    <t>REPARATION INFILTRATION LT SOUS SOL</t>
  </si>
  <si>
    <t>RECHERCHE DE FUITE EN COURS</t>
  </si>
  <si>
    <t>REPRISE DESCENTE EP</t>
  </si>
  <si>
    <t>REMPLACEMENT POMPE DE RELEVAGE</t>
  </si>
  <si>
    <t>REMPLACEMENT POMPE HYDROCARBURE</t>
  </si>
  <si>
    <t>REPRISE ENROBE PARKING</t>
  </si>
  <si>
    <t>ANNULÉ</t>
  </si>
  <si>
    <t>REMPLACEMENT PORTE D'ENTRÉE PIÉTONNE PARKING</t>
  </si>
  <si>
    <t>REPORTÉ</t>
  </si>
  <si>
    <t>21 AVENUE DU GÉNERAL DU TAILLIS, NANGIS</t>
  </si>
  <si>
    <t>REMPLACEMENT DE VELUX HS [REPORT 2025]</t>
  </si>
  <si>
    <t>MYNA CONSTRUCTION</t>
  </si>
  <si>
    <t>DIAG TOITURE ET INFILTRATION TOITURE 3ÈME ÉTAGE BAT 16, 18 ET 20</t>
  </si>
  <si>
    <t>FOYER - GENDARMERIE DIZY - 29 RUE DE LA BRIQUETERIE - DIZY</t>
  </si>
  <si>
    <t>ABATAGE CERISIER</t>
  </si>
  <si>
    <t>ANNULEE CAR LES GENDARMES ONT FAIT LE NECESSAIRE EN FEVRIER 2026</t>
  </si>
  <si>
    <t>REPRISE ENROBE PARKING  TAMPON BETON</t>
  </si>
  <si>
    <t>COLAS FRANCE</t>
  </si>
  <si>
    <t>17/03/2026 - DEVIS EN COURS COLAS</t>
  </si>
  <si>
    <t>1-3-5-7-9 IMPASSE PRE AUX CROIX - EPERNAY</t>
  </si>
  <si>
    <t>TRAVAUX MISE EN CONFORMITE GAZ</t>
  </si>
  <si>
    <t>SBOUDJEBA</t>
  </si>
  <si>
    <t>LE CHAMP GATIN - FONTAINE-SUR-AY</t>
  </si>
  <si>
    <t>REPRISE ENROBES DEVANT GARAGE</t>
  </si>
  <si>
    <t>14 RUE ROGER ZIMMERMANN - ATHIS (ER.64648)</t>
  </si>
  <si>
    <t>REMPLACEMENT SOL SEJOUR</t>
  </si>
  <si>
    <t>ASSOCIATION OXYGENE</t>
  </si>
  <si>
    <t>MAIL</t>
  </si>
  <si>
    <t>20 RUE PASTEUR - EPERNAY</t>
  </si>
  <si>
    <t>REPRISE PLAFOND LOGEMENT</t>
  </si>
  <si>
    <t>12 ET 14 RUE PIERRE VAUDON - AVIZE</t>
  </si>
  <si>
    <t>ÉLÉVATION DE MUR POUR BLOQUER DESCENTE DE TERRE + REPRISE AFFAISSEMENT TROTTOIR</t>
  </si>
  <si>
    <t>MARNE BATIMENT</t>
  </si>
  <si>
    <t>15 ET 15 BIS PAUL GRAVET - MAGENTA</t>
  </si>
  <si>
    <t>REFECTION REGARDS ET REHAUSSE POUR MISE A NIVEAU</t>
  </si>
  <si>
    <t>5 BIS PLACE DE LA MAIRIE - OGER - BLANCS COTEAUX</t>
  </si>
  <si>
    <t>ACHEMINEMENT FIBRE LOGEMENT</t>
  </si>
  <si>
    <t>À VÉRIFIER</t>
  </si>
  <si>
    <t>20 RUE DE LA JUIVERIE - EPERNAY</t>
  </si>
  <si>
    <t>REFECTION MUR COUR INTERIEURE</t>
  </si>
  <si>
    <t>MBANNIER</t>
  </si>
  <si>
    <t>20 SAUT DU LIÈVRE - EPERNAY</t>
  </si>
  <si>
    <t>REPRISE MUR SOUTENEMENT</t>
  </si>
  <si>
    <t>ALUCAS</t>
  </si>
  <si>
    <t>7 PLACE DU 13EME RG ET 4 ALLEE DES CHASSEURS - EPERNAY</t>
  </si>
  <si>
    <t>APPEL DE FONDS - REALISATION PLAN TRAVAUX</t>
  </si>
  <si>
    <t>2-5-7 POULENC - EPERNAY</t>
  </si>
  <si>
    <t>REFECTION DE L ALLEE + ESCALIERS MENANT A L'IMMEUBLE ENTRE LES PAVILLONS ACTUELLEMENT GRAVILLONNES</t>
  </si>
  <si>
    <t>BATIKO-M</t>
  </si>
  <si>
    <t>3 PLACE VICTOR HUGO - EPERNAY</t>
  </si>
  <si>
    <t>RENFORCEMENT PLANCHER HAUT CAVE</t>
  </si>
  <si>
    <t>EN COURS - ACCORD COPRO</t>
  </si>
  <si>
    <t>SAUT DU LIÈVRE - EPERNAY</t>
  </si>
  <si>
    <t>TRAVAUX TERRASSEMENT POUR TRAITEMENT EP</t>
  </si>
  <si>
    <t>COLAS + WAGNER</t>
  </si>
  <si>
    <t>76 RUE PASTEUR - AVIZE</t>
  </si>
  <si>
    <t>CURAGE RESEAU</t>
  </si>
  <si>
    <t>DEBOUCH'VISIO.NET MARNE</t>
  </si>
  <si>
    <t>9, 11 RUE DE MONTMORT - OGER</t>
  </si>
  <si>
    <t>DISPOSITIF ANTI PIGEON</t>
  </si>
  <si>
    <t>7 RUE DU PARADIS - CHAMPILLON - ER.64453</t>
  </si>
  <si>
    <t>REPRISE RESEAU EU SUITE A REFOULEMENT DANS CELLIER</t>
  </si>
  <si>
    <t>7 SAUT DU LIÈVRE - EPERNAY - ER.20322</t>
  </si>
  <si>
    <t>TRAITEMENT INFILTRATION TOITURE PAR ANTENNE</t>
  </si>
  <si>
    <t>30 HONORÉE DE BALZAC - DIZY</t>
  </si>
  <si>
    <t>QTE PART DEMOUSSAGE TOITURE</t>
  </si>
  <si>
    <t>10 HONORÉE DE BALZAC - DIZY</t>
  </si>
  <si>
    <t>AQUITAINE PROVENCE MEDITERRANEE</t>
  </si>
  <si>
    <t>REMPLACEMENT DES PORTES PALIERES</t>
  </si>
  <si>
    <t>FAYAT BATIMENT</t>
  </si>
  <si>
    <t>1, 5, 7 RUE DU PARADIS - CHAMPILLON</t>
  </si>
  <si>
    <t>MISE EN PEINTURE DES CAGES D'ESCALIERS (MUR AU 7 ET INTÉGRALITÉ AU 1)</t>
  </si>
  <si>
    <t>SMP AMENAGEMENT</t>
  </si>
  <si>
    <t>53 RUE DES JANCELINS - EPERNAY</t>
  </si>
  <si>
    <t>REPRISE MAIN COURANTE ESCALIER</t>
  </si>
  <si>
    <t>10 IMPASSE ABELE - EPERNAY</t>
  </si>
  <si>
    <t>REMISE EN PEINTURE DES PARTIES COMMUNES + SOLS</t>
  </si>
  <si>
    <t>ELESAGE</t>
  </si>
  <si>
    <t>13 RUE PAGET - AY CHAMPAGNE</t>
  </si>
  <si>
    <t>DEMOUSSAGE TOITURE</t>
  </si>
  <si>
    <t>3 BIS RUE BASSE ST LAURENT - EPERNAY</t>
  </si>
  <si>
    <t>RÉFECTION PEINTURE CAGE D'ESCALIER</t>
  </si>
  <si>
    <t>4 RUE DE VERDUN - EPERNAY</t>
  </si>
  <si>
    <t>CURAGE ET DÉTARTRAGE DES RÉSEAUX</t>
  </si>
  <si>
    <t>MARNE INTERVENTION</t>
  </si>
  <si>
    <t>72 DE GAULLE - AY CHAMPAGNE</t>
  </si>
  <si>
    <t>REPRISE DES ECLATS BETONS BALCONS</t>
  </si>
  <si>
    <t>NRIZZATO</t>
  </si>
  <si>
    <t>3A, 3B RUE DE L'ABBÉ GRUET - SAINT DIZIER</t>
  </si>
  <si>
    <t>RÉFECTION TERRASSE BOIS ER.24481</t>
  </si>
  <si>
    <t>LES TRAVAUX DE MIKA</t>
  </si>
  <si>
    <t>3 RUE DE L'ABBÉ GRUET -SAINT DIZIER</t>
  </si>
  <si>
    <t>RÉFECTION TERRASSE EXT ER.24456</t>
  </si>
  <si>
    <t>3 RUE DE L'ABBÉ GRUET - SAINT DIZIER</t>
  </si>
  <si>
    <t>RÉFECTION TERRASSE EXT ER.24469</t>
  </si>
  <si>
    <t>SECTEUR GIROUDOUX/ TURENNE/ GIDE/ BACHELARD</t>
  </si>
  <si>
    <t>REMPLACEMENT GRILLAGES 3D</t>
  </si>
  <si>
    <t>SOLEIL +</t>
  </si>
  <si>
    <t>CA</t>
  </si>
  <si>
    <t>97 MALADRERIE</t>
  </si>
  <si>
    <t>REPRISE DE TUYAUX ENTERÉS</t>
  </si>
  <si>
    <t>DIAGNOSTICS AMIANTE AVANT TRAVAUX</t>
  </si>
  <si>
    <t>AC ENVIRONNEMENT</t>
  </si>
  <si>
    <t>FISMES</t>
  </si>
  <si>
    <t>ABATAGE ARBRE SUR TALLUS</t>
  </si>
  <si>
    <t>A2P TRAVAUX PAYSAGERS</t>
  </si>
  <si>
    <t>KVCERIZIER</t>
  </si>
  <si>
    <t>20 RUE SOURCE DE MUIRE</t>
  </si>
  <si>
    <t>TRAITEMENT DES FISSURES</t>
  </si>
  <si>
    <t>MARLOT JARD</t>
  </si>
  <si>
    <t>AMENAGEMENT PLACE ENTRE 18 18BIS</t>
  </si>
  <si>
    <t>IMPASSE SAINT QUENTIN</t>
  </si>
  <si>
    <t>MISE AU NORME ASSAINISSEMENT ET EAU POTABLE</t>
  </si>
  <si>
    <t>GRANDCOLAS : DEVIS EN COURS - ASSAINISSEMENT</t>
  </si>
  <si>
    <t>1 ESPACE LA TOUR AY CHAMPAGNE</t>
  </si>
  <si>
    <t>REMPLACEMENT PORTE SECOURS DANS LOCAL VIDE ORDURES ACCÈS EXTÉRIEUR DEVIS MR BABE MONTANT 2513,50 EUROS DU 15 12 2023</t>
  </si>
  <si>
    <t>BABE XAVIER</t>
  </si>
  <si>
    <t>3 RUE D'ALEMBERT</t>
  </si>
  <si>
    <t>REPORT 2022 - TRAVAUX PLOMBERIE</t>
  </si>
  <si>
    <t>COGEMUST</t>
  </si>
  <si>
    <t>70 C JARD REIMS</t>
  </si>
  <si>
    <t>CREATION DOUCHE</t>
  </si>
  <si>
    <t>EROYER</t>
  </si>
  <si>
    <t>2 RUE DE BENIVALLE - SAINT DIZIER</t>
  </si>
  <si>
    <t>ER.25644: REMPLACEMENT CABINE DOUCHE</t>
  </si>
  <si>
    <t>40 AU 60 CHENIER (ER.B0317.003)</t>
  </si>
  <si>
    <t>REFECTION ÉTANCHÉITÉ COURSIVE</t>
  </si>
  <si>
    <t>NICOLETTA REIMS</t>
  </si>
  <si>
    <t>86 ET 88 COURONNES DES INDES ET 2 AUBERT ROCHE</t>
  </si>
  <si>
    <t>RÉFECTION GOUTTIÈRES</t>
  </si>
  <si>
    <t>SMAC</t>
  </si>
  <si>
    <t>LIPPMANN</t>
  </si>
  <si>
    <t>REPRISES ETANCHEIETES DES PONTS THERMIQUES</t>
  </si>
  <si>
    <t>RENODEC</t>
  </si>
  <si>
    <t>REPRISES ETANCHEITES DES PONTS THERMIQUES</t>
  </si>
  <si>
    <t>REPRISE RAVALEMENT PIGNON (CÔTÉ 22)</t>
  </si>
  <si>
    <t>2 FSR</t>
  </si>
  <si>
    <t>REMPLACEMENT VELUX</t>
  </si>
  <si>
    <t>4  RUE FERNAND BUFFET - MAGENTA</t>
  </si>
  <si>
    <t>30 RUE CHOCATELLE - EPERNAY - (ER.66016)</t>
  </si>
  <si>
    <t>REMPLACEMENT DES VÉLUX</t>
  </si>
  <si>
    <t>5 RUE HENRI IV - EPERNAY</t>
  </si>
  <si>
    <t>REPORT EN CP</t>
  </si>
  <si>
    <t>7 RUE PERSAULT MAHEU - MESNIL SUR OGER</t>
  </si>
  <si>
    <t>79 ESP LES ROSES - RESIDENCE LE PILAT - MAREUIL SUR AY</t>
  </si>
  <si>
    <t>DEMOUSSAGE DES TOITURES</t>
  </si>
  <si>
    <t>51 RUE SONDAG - AY CHAMPAGNE</t>
  </si>
  <si>
    <t>30 RUE CHOCATELLE - EPERNAY</t>
  </si>
  <si>
    <t>REPRISE DES BRIQUETTES EN FACADE SUITE A LA PURGE</t>
  </si>
  <si>
    <t>1 A 7 IMPASSE DES TILLEULS - EPERNAY</t>
  </si>
  <si>
    <t>REMPLACEMENT ECLAIRAGES PARTIES COMMUNES</t>
  </si>
  <si>
    <t>56 BOULEVARD JEAN BRION - VERTUS</t>
  </si>
  <si>
    <t>REMPLACEMENT SYTEME DE CHAUFFAGE (ER.64524)</t>
  </si>
  <si>
    <t>REMPLACEMENT DE FENETRES (PONCTUEL)</t>
  </si>
  <si>
    <t>2, 2BIS RUE DES HUGUENOTS / 6 RUE M CERVEAUX - EPERNAY</t>
  </si>
  <si>
    <t>REFECTION DES DOUCHES</t>
  </si>
  <si>
    <t>MISE EN SÉCURITÉ ÉLECTRIQUE BRIGADE</t>
  </si>
  <si>
    <t>17/03/2026 - DEVIS EN COURS PLANETE ELECTRICITE</t>
  </si>
  <si>
    <t>01/09/2026 - RELANCE PLANETE ELEC POUR LE DEVIS LES GENDARMES N'ETAIENT PAS DISPO AVANT</t>
  </si>
  <si>
    <t>1 C CITES JARDINS - VERTUS - BLANCS COTEAUX</t>
  </si>
  <si>
    <t>POSE ROBINET POUR LOCAL VO</t>
  </si>
  <si>
    <t>À ANNULER</t>
  </si>
  <si>
    <t>7 RUE D'AVENAY - MAREUIL SUR AY</t>
  </si>
  <si>
    <t>REMPLACEMENT PORTE PALIERE</t>
  </si>
  <si>
    <t>1 A 7 IMPASSE DES TILLEULS - EPERNAY - (ER.66474)</t>
  </si>
  <si>
    <t>ISOLATION DES COMBLES</t>
  </si>
  <si>
    <t>66 RUE DES HUGUENOTS - EPERNAY</t>
  </si>
  <si>
    <t>REFECTION VERRIERE PALIER ARRIERE BATIMENT</t>
  </si>
  <si>
    <t>CROIX DE BUSSY - FRANCHE COMTE - EPERNAY</t>
  </si>
  <si>
    <t>CURAGE ET CHEMISAGE COLONNES EU</t>
  </si>
  <si>
    <t>PLACE YVES BRUNOT - DIZY (ER.63918)</t>
  </si>
  <si>
    <t>REMPLACEMENT VOLETS BOIS</t>
  </si>
  <si>
    <t>À LANCER</t>
  </si>
  <si>
    <t>REPRISE RESEAU EU</t>
  </si>
  <si>
    <t>LEOVA</t>
  </si>
  <si>
    <t>4 RUE DE VERDUN - EPERNAY - (ER.23597 / ER.23635)</t>
  </si>
  <si>
    <t>ISOLATION DES MURS INTÉRIEURS DONNAT SUR LE PIGNON (2 CHAMBRES ET SALON)</t>
  </si>
  <si>
    <t>24 RUE TOUR BIRON - EPERNAY</t>
  </si>
  <si>
    <t>INVESTIGATIONS STABILITE SOL ET MISE EN PLACE CLOTURE SUR TERRRASSES RDC</t>
  </si>
  <si>
    <t>RINCENT BTP SERVICES QUALIT'ES</t>
  </si>
  <si>
    <t>9  PLACE DE LA REPUBLIQUE - EPERNAY</t>
  </si>
  <si>
    <t>APPEL DE FONDS - REFECTION TOITURE (À AJUSTER SUITE AG)</t>
  </si>
  <si>
    <t>COPROP - 7125 - 2 GAMBETTA</t>
  </si>
  <si>
    <t>AG EN COURS  K €</t>
  </si>
  <si>
    <t>31 À 41 RUE DE FRANCHE COMTÉ - EPERNAY</t>
  </si>
  <si>
    <t>REPRISE ÉTANCHÉITÉ LOGGIA</t>
  </si>
  <si>
    <t>15 À 17 RUE LECLERC - AY CHAMPAGNE</t>
  </si>
  <si>
    <t>REMPLACEMENT DES PORTES PAVILLONNAIRES</t>
  </si>
  <si>
    <t>68 ET 70 BD CHARLES DE GAULLE - AY CHAMPAGNE</t>
  </si>
  <si>
    <t>REMPLACEMENT DES TABLEAUX ÉLECTRIQUE + AJOUTS PRISES + CONSUELS</t>
  </si>
  <si>
    <t>23 RUE CHOCATELLE - EPERNAY</t>
  </si>
  <si>
    <t>REMPLACEMENT DES MENUISERIES EXTÉRIEURES</t>
  </si>
  <si>
    <t>10 RUE D'AUVERGNE - EPERNAY</t>
  </si>
  <si>
    <t>INDIVIDUALISATION TRAITEMENT DES EU</t>
  </si>
  <si>
    <t>BEC CONSTRUCTION CHAMPAGNE</t>
  </si>
  <si>
    <t>2 RUE CARNOT - MAGENTA</t>
  </si>
  <si>
    <t>MISE EN SÉCURITÉ CONTRÔLE D'ACCÈS</t>
  </si>
  <si>
    <t>9A/9B RUE DU COMTE DE LAMBERTYE - EPERNAY</t>
  </si>
  <si>
    <t>REFECTION TOITURE TERRASSE</t>
  </si>
  <si>
    <t>ANNULÉE</t>
  </si>
  <si>
    <t>2/4 ALLÉE DU FORT CHABROL - EPERNAY (ER.20110-ER.20111)</t>
  </si>
  <si>
    <t>REMPLACEMENT GRILLAGES</t>
  </si>
  <si>
    <t>RUE DES LORIOTS - DORMANS (ER.T1554)</t>
  </si>
  <si>
    <t>ELAGAGE HAIE SEPARATIVE RABATTRE A 180</t>
  </si>
  <si>
    <t>PLAN DE PREVENTION = OK</t>
  </si>
  <si>
    <t>8B RUE DU GAULT - DORMANS (ER.66369)</t>
  </si>
  <si>
    <t>TERRASSEMENT FIBRE</t>
  </si>
  <si>
    <t>11-13 RUE DE PICARDIE ET 6 RUE DU MAINE - EPERNAY (ER.T1565)</t>
  </si>
  <si>
    <t>MONTER DES CLOISONS DANS LES CAVES POUR EVITER SQUAT ET DEGRADATIONS (X3)</t>
  </si>
  <si>
    <t>DEVIS EN COURS</t>
  </si>
  <si>
    <t>ROCHERETS/CHATEAU VERT EPERNAY - EPERNAY (ER.T1585)</t>
  </si>
  <si>
    <t>REPRISE REGARD EXTERIEUR</t>
  </si>
  <si>
    <t>3 RUE DEVILLE - CHÂTEAU THIERRY (ER.B1816.001)</t>
  </si>
  <si>
    <t>REPRISE AFFAISSEMENT PARKING</t>
  </si>
  <si>
    <t>13 RUE DES GARATS - BRASLES (ER.B1839.002)</t>
  </si>
  <si>
    <t>3B RUE DES JONCS - BRASLES (ER.B2070.001)</t>
  </si>
  <si>
    <t>POSE D'UN GRILLAGE 3D - MISE EN SECURITE</t>
  </si>
  <si>
    <t>CASTEL SERRURIE METALLERIE</t>
  </si>
  <si>
    <t>2 ALLÉE DES ERABLES - EPERNAY (ER.33184)</t>
  </si>
  <si>
    <t>TERRASSEMENT EXT PORTE FENETRE</t>
  </si>
  <si>
    <t>REPORT</t>
  </si>
  <si>
    <t>REMPLACEMENT AU COUP PAR COUP DES VR</t>
  </si>
  <si>
    <t>47 RUE CHARLES DE GAULLE - VILLE EN TARDENOIS (ER.15028 + ER.15029)</t>
  </si>
  <si>
    <t>TRAITEMENT ESPACES EXT NETTOYAGE</t>
  </si>
  <si>
    <t>ANNULE FAIS EN 2025</t>
  </si>
  <si>
    <t>20 GAMA  ER.04066</t>
  </si>
  <si>
    <t>REMPL PORTE DE GARAGE</t>
  </si>
  <si>
    <t>30 GAMA ER.04071</t>
  </si>
  <si>
    <t>REMPLACEMENT PORTE DE GARAGE</t>
  </si>
  <si>
    <t>92 CASSIN  ER.19356</t>
  </si>
  <si>
    <t>REMPLACEMENT COULOIR ZINC SUITE INFILTRATIONS</t>
  </si>
  <si>
    <t>REPARATIONS POLET 2025 OK PAS NECESSAIRE</t>
  </si>
  <si>
    <t>ILOT I  HODIN</t>
  </si>
  <si>
    <t>REMPLACEMENT DES PORTES HALL NON PRISE EN CHARGE PAR REHA 6U</t>
  </si>
  <si>
    <t>REPORT 2027 VU AVEC AGENCE ET SAMY THERMOLAQUER PORTES NEUVES</t>
  </si>
  <si>
    <t>SDO</t>
  </si>
  <si>
    <t>44 ET 44 BIS ALBERT THOMAS</t>
  </si>
  <si>
    <t>REMPL TOITURE</t>
  </si>
  <si>
    <t>MCARLIER</t>
  </si>
  <si>
    <t>2  RUE DES ERABLES ER.19449</t>
  </si>
  <si>
    <t>REPRISE FUITE COMPTEUR AEP Y COMPRIS TERRASSEMENT</t>
  </si>
  <si>
    <t>PLACE THOMAS LE PILLEUR, SERRIS - ER.26244</t>
  </si>
  <si>
    <t>REMPLACEMENT MENUIS. - ER.26244</t>
  </si>
  <si>
    <t>REMPLACEMENT DES PORTES DE CAVES</t>
  </si>
  <si>
    <t>7 PORTES</t>
  </si>
  <si>
    <t>16 RUE DE LA ROCHEFOUCAULD - CHÂLONS</t>
  </si>
  <si>
    <t>ER.21575 - MISE AUX NORMES ELECTRIQUE</t>
  </si>
  <si>
    <t>5 LOGEMENTS ÀPROGRAMMER EN 2027</t>
  </si>
  <si>
    <t>GHENRARD</t>
  </si>
  <si>
    <t>26 BETTINGER</t>
  </si>
  <si>
    <t>REMPLACEMENT CABINE SUITE DDE</t>
  </si>
  <si>
    <t>S05</t>
  </si>
  <si>
    <t>MDU</t>
  </si>
  <si>
    <t>RUE ET PLACE DU MOULIN DE BROYES - SEZANNE</t>
  </si>
  <si>
    <t>REMPLACEMENT PORTES ENTREES</t>
  </si>
  <si>
    <t>LMA</t>
  </si>
  <si>
    <t>50 PLACE MONTLEAN - MONTMIRAIL</t>
  </si>
  <si>
    <t>DIAGNOSTIC AMIANTE AVANT TRAVAUX</t>
  </si>
  <si>
    <t>SHECK</t>
  </si>
  <si>
    <t>6 RUE DE LA VICTOIRE</t>
  </si>
  <si>
    <t>FOUILLE Y COMPRIS POSE FOUREAUX PARTIE PRIVATIVE Y COMPRIS ENROBE</t>
  </si>
  <si>
    <t>LOSANGE EXPLOITATION</t>
  </si>
  <si>
    <t>10 ET 12 DUGUAY TROUIN</t>
  </si>
  <si>
    <t>REPRSIE TERRASSE ET CREATION LONGRINE SUITE AFFAISSEMENT TERRAIN ENTRE DEUX PARCELLES</t>
  </si>
  <si>
    <t>SARL MACONNERIE NOUVELLE</t>
  </si>
  <si>
    <t>11 RUE DES JONCS - BRASLES (ER.B2140.002)</t>
  </si>
  <si>
    <t>CREATION SEPARATION ENTRE GARAGE ET ESPACE VERT</t>
  </si>
  <si>
    <t>PRINTEMPS</t>
  </si>
  <si>
    <t>29 RUE DE CHAMPAGNE - AMBONNAY (ER.T0500)</t>
  </si>
  <si>
    <t>NETTOYAGE FACADES</t>
  </si>
  <si>
    <t>DEVIS SAPE  10K</t>
  </si>
  <si>
    <t>DEMANDER DEVIS A SOLEIL+</t>
  </si>
  <si>
    <t>21 ALLÉE DU FORT CHABROL - EPERNAY (ER.B0886.001)</t>
  </si>
  <si>
    <t>RAVALEMENT DE FACADES (OU BALCONS)</t>
  </si>
  <si>
    <t>DEVIS SAPE 77 000 EUROS TTC - CONSULTATION GRÈS À GRÈS T1 2027 - REPORT 2027</t>
  </si>
  <si>
    <t>5 AL.19.3.1962 - EPERNAY (ER.20165)</t>
  </si>
  <si>
    <t>REFECTION TERRASSE ACCESSIBLE</t>
  </si>
  <si>
    <t>2 DES PRESSOIRS - AMBONNAY (ER.T0974)</t>
  </si>
  <si>
    <t>REMISE EN PEINTURE PARTIES COMMUNES</t>
  </si>
  <si>
    <t>8-10 RUE DE PICARDIE - EPERNAY (ER.B1561.001)</t>
  </si>
  <si>
    <t>REPARATION EN TOITURE TERRASSE</t>
  </si>
  <si>
    <t>4-6 RUE DE PICARDIE - EPERNAY (ER.B1562.001)</t>
  </si>
  <si>
    <t>ALLÉE DE LA VAUTE/ETTLINGEN/SOURCE - EPERNAY (ER.T1564)</t>
  </si>
  <si>
    <t>PEINTURE DES GARDES CORPS + REPRISE BÉTON BALCONS(3/6)</t>
  </si>
  <si>
    <t>SAPE</t>
  </si>
  <si>
    <t>REMISE EN PENTURE PARTIES COMMUNES (2/4)</t>
  </si>
  <si>
    <t>3  RUE JEAN SEBASTIEN BACH (ER.E1602.002.003)</t>
  </si>
  <si>
    <t>17 RUE DES COTEAUX - EPERNAY (ER.E1604.003.006)</t>
  </si>
  <si>
    <t>CLUB DE PREVENTION D'EPERNAY</t>
  </si>
  <si>
    <t>CLUB DEVIS EN COURS</t>
  </si>
  <si>
    <t>9 RUE DES COTEAUX - EPERNAY (ER.B1608.002)</t>
  </si>
  <si>
    <t>37 AVENUE DE MIDDELKERKE - EPERNAY (ER.B1609.G01)</t>
  </si>
  <si>
    <t>INFILTRATION GARAGE N°7</t>
  </si>
  <si>
    <t>8  RUE DES COTEAUX - EPERNAY (ER.B1610.002)</t>
  </si>
  <si>
    <t>35A-B-C RUE CORNELIS ET 34 À 43 JULES LOBET - EPERNAY (ER.T1618)</t>
  </si>
  <si>
    <t>REPRISE BALCONS</t>
  </si>
  <si>
    <t>17 RUE NOTRE DAME - ORBAIS L'ABBAYE (ER.B1716.001)</t>
  </si>
  <si>
    <t>RAVALEMENT COTE PROPRIETAIRE</t>
  </si>
  <si>
    <t>17 RUE NOTRE DAME - ORBAIS L'ABBAYE (ER.E1716.001.017)</t>
  </si>
  <si>
    <t>CURAGE DES RESEAUX EU</t>
  </si>
  <si>
    <t>7 RUE FONTAINE BOUDÉ - DORMANS (ER.B1551.002)</t>
  </si>
  <si>
    <t>REPRISE ENDUIT SUR CHEMINEE (3/3)</t>
  </si>
  <si>
    <t>VISITE MARNE BATIMENT POUR CHIFFRAGE LE 20/01</t>
  </si>
  <si>
    <t>9  RUE FONTAINE BOUDE - DORMANS (ER.T1551)</t>
  </si>
  <si>
    <t>REMPLACEMENT TOITURE TERRASSE - AO (2/3)</t>
  </si>
  <si>
    <t>SOPREMA ENTREPRISES</t>
  </si>
  <si>
    <t>EPERNAY - 107 COLL - RUE J.S BACH</t>
  </si>
  <si>
    <t>AMENAGEMENT DE PAVILLONS DE TRIS BERNON</t>
  </si>
  <si>
    <t>STAND BY EN ATTENTE CDC COM COM</t>
  </si>
  <si>
    <t>1-3-5 RUE JOHANNES BRAHMS - EPERNAY (ER.T1603)</t>
  </si>
  <si>
    <t>REMPLACEMENT PANNEAUX D'ADRESSAGE</t>
  </si>
  <si>
    <t>7 RUE CHARLES GOUNOD - EPERNAY (ER.E1605.001.001)</t>
  </si>
  <si>
    <t>PORTE ENTREE + MENUISERIE</t>
  </si>
  <si>
    <t>ENTREPRISE CORBON</t>
  </si>
  <si>
    <t>10  RUE DES COTEAUX - EPERNAY (ER.B1610.001)</t>
  </si>
  <si>
    <t>TRAVAUX SUR RESEAU EAU</t>
  </si>
  <si>
    <t>RAS</t>
  </si>
  <si>
    <t>1-3 ALLÉE LÉO DELIBES - EPERNAY (ER.T1611)</t>
  </si>
  <si>
    <t>RELAMPING LED PARTIES COMMUNES</t>
  </si>
  <si>
    <t>PLANETE ELEC</t>
  </si>
  <si>
    <t>A RETRAVAILLER -  7 DELIBES ?</t>
  </si>
  <si>
    <t>1 RUE DU PARC - EPERNAY (ER.E1613.001.004)</t>
  </si>
  <si>
    <t>REMPLACEMENT RESEAUX EC ET EF</t>
  </si>
  <si>
    <t xml:space="preserve">14/09/2026 - OS DEVIS MUST </t>
  </si>
  <si>
    <t>17.03.2026 - DEVIS EN COURS REIMS CHAUFFAGE - REPORT 2027</t>
  </si>
  <si>
    <t>4 PLACE JEAN BATISTE LULLY - EPERNAY (ER.B1614.004)</t>
  </si>
  <si>
    <t>PLAQUE DE BARDAGE EN SOUBASSEMENT DE FACADE ARRIERE</t>
  </si>
  <si>
    <t>09.09: OS EN COMPLEMENT POUR LA REUTILSATION DES PLAQUES EN B.E SUR LES AUTRES FACADES</t>
  </si>
  <si>
    <t>01.09.2026: DEMANDE D'ACTUALISATION DU DEVIS (COMPRIS STOCKAGE PN DES PLAQUES EN BON ETAT)</t>
  </si>
  <si>
    <t>2-4 PLACE JEAN BATISTE LULLY - EPERNAY (ER.B1614.004)</t>
  </si>
  <si>
    <t>SEPARATION EU-EP</t>
  </si>
  <si>
    <t>27/08/26: RELANCE SUR L'AVANCEMENT DE LA RECHERCHE ET DES IDENTIFICATIONS DES RÉSEAUX</t>
  </si>
  <si>
    <t>9 AU 19  RUE DU 8 MAI - MAREUIL-LE-PORT (ER.T1693)</t>
  </si>
  <si>
    <t>MISE EN PLACE COMPTEUR ELECTRIQUE PC (X6)</t>
  </si>
  <si>
    <t>S2 2026</t>
  </si>
  <si>
    <t>RUE DES PEUPLIERS - OEUILLY (ER.T1710)</t>
  </si>
  <si>
    <t>MISE EN SECURITE ELEC + CONSUEL (X8)</t>
  </si>
  <si>
    <t>CHEMIN DES GARENNES - HAUTVILLERS (ER.B1775.001)</t>
  </si>
  <si>
    <t>REMPLACEMENT BAIE VITREE EXTENSION</t>
  </si>
  <si>
    <t>2 RUE CHARLES GOUNOD - EPERNAY (ER.E1803.001.001)</t>
  </si>
  <si>
    <t>ECO QUARTIER - BRASLES</t>
  </si>
  <si>
    <t>BARRIERES DE PARKING IND.</t>
  </si>
  <si>
    <t>NOUVION RUES GUILLAUME MEON RECHU 98 U</t>
  </si>
  <si>
    <t>MACONNERIE DIVERS</t>
  </si>
  <si>
    <t>MISE EN OEUVRE DE CLOTURES</t>
  </si>
  <si>
    <t>IDVERDE</t>
  </si>
  <si>
    <t>RUE DE LA SABLONNIÈRE</t>
  </si>
  <si>
    <t>OESCHIMESE</t>
  </si>
  <si>
    <t>BRIEULLES SUR BAR</t>
  </si>
  <si>
    <t>REPRISE EN PEINTURE MENUISERIES EXT ET VOLETS</t>
  </si>
  <si>
    <t>MAXIME HENAUX</t>
  </si>
  <si>
    <t>LA TANNIERE</t>
  </si>
  <si>
    <t>NETTOYAGE FAÇADES</t>
  </si>
  <si>
    <t>A-G-NET PROPRETE SERVICES</t>
  </si>
  <si>
    <t>NOUVION RUES ESPERANCE GAMBETTA PASTEUR HUGO CARNOT CHANZY 107 U</t>
  </si>
  <si>
    <t>MISE EN SÉCURITÉ ÉLECTRIQUE TAB + CONSUEL</t>
  </si>
  <si>
    <t>SOKELEC</t>
  </si>
  <si>
    <t>LAUNOIS SUR VENCE</t>
  </si>
  <si>
    <t>MISE EN PLACE DE VMC</t>
  </si>
  <si>
    <t>RUE DE CHAMPAGNE 08 CHARLEVILLE MEZIERES</t>
  </si>
  <si>
    <t>DÉMOUSSAGE TOITURE ENTRETIEN COUVERTURE</t>
  </si>
  <si>
    <t>THEVENIN JOSE PERE ET FILLE</t>
  </si>
  <si>
    <t>ALLEE DES FERVINS</t>
  </si>
  <si>
    <t>ENTRETIEN PARCELLE 2025</t>
  </si>
  <si>
    <t>1 BETTINGER</t>
  </si>
  <si>
    <t>REMPLACEMENT DE LA TOITURE TERRASSE</t>
  </si>
  <si>
    <t>SOYEUX COUVERTURE</t>
  </si>
  <si>
    <t>9 FONTAINE DE LA TREILLE - SOUPPES SUR LOING</t>
  </si>
  <si>
    <t>REMPLACEMENT DE DEUX VELUX HS</t>
  </si>
  <si>
    <t>SUITE RACHAT</t>
  </si>
  <si>
    <t>RUBAN BLEU/DOUMER</t>
  </si>
  <si>
    <t>REFECTION CAGES 1/3</t>
  </si>
  <si>
    <t>102 RUE RICHELIEU (ER.14108)</t>
  </si>
  <si>
    <t>REMPLACEMENT GRILLAGE SOUPLE PAR 3D</t>
  </si>
  <si>
    <t>14 BIS RUE HENRI HENRION - AY - (ER.66738)</t>
  </si>
  <si>
    <t>2 PLACE DES 4 FIS AYMON - CHÂLONS</t>
  </si>
  <si>
    <t>REMPLACEMENT MENUISERIES</t>
  </si>
  <si>
    <t>6 ET 8 VALMY CHÂLONS</t>
  </si>
  <si>
    <t>APPEL COPRO : RÉFECTION TOITURE</t>
  </si>
  <si>
    <t>SDC L'OPALEADE</t>
  </si>
  <si>
    <t>COPRO SAINT DOMINIQUE</t>
  </si>
  <si>
    <t>APPEL FOND COPRO</t>
  </si>
  <si>
    <t>SDC SAINT DOMINIQUE</t>
  </si>
  <si>
    <t>COPRO HOTEL DE VILLE</t>
  </si>
  <si>
    <t>APPEL FOND COPRO: REMPLACEMENT PORTE DE HALL</t>
  </si>
  <si>
    <t>SDC HOTEL DE VILLE</t>
  </si>
  <si>
    <t>ROUTE DE MONTMIRAIL - FAGNIERES</t>
  </si>
  <si>
    <t>APPEL DE FOND: REMPLACEMENT GOUTTIERES</t>
  </si>
  <si>
    <t>IMMO SERVICES</t>
  </si>
  <si>
    <t>PB</t>
  </si>
  <si>
    <t>12 D SIMONE DE BEAUVOIR</t>
  </si>
  <si>
    <t>PASSAGE DE RÉSEAU EN APPARENT</t>
  </si>
  <si>
    <t>MUST REIMS</t>
  </si>
  <si>
    <t>SALUT</t>
  </si>
  <si>
    <t>FOURREAUX FIBRE DANS TERRAIN</t>
  </si>
  <si>
    <t>GEOFFROY DAVID</t>
  </si>
  <si>
    <t>26  AV. JEAN JAURES - FISMES</t>
  </si>
  <si>
    <t>POSE VMC</t>
  </si>
  <si>
    <t>RECHERCHE DE FUITE</t>
  </si>
  <si>
    <t>FRANCE DETECTION</t>
  </si>
  <si>
    <t>SOUS DO</t>
  </si>
  <si>
    <t>32 RUE CORNILLOT, THORIGNY-SUR-MARNE</t>
  </si>
  <si>
    <t>TRAVAUX PONCTUELLE D'ISOLATION DE TOITURE</t>
  </si>
  <si>
    <t>CLOTURE ACCES ARRIERE BATIMENT</t>
  </si>
  <si>
    <t>L'AGENCE - MAINTENANCE : SÉCURISATION JARDIN AU FOND (131/133 B)</t>
  </si>
  <si>
    <t>3 RUE EMILE FROISSART</t>
  </si>
  <si>
    <t>REMPLACEMENT DE POMPE DE RELEVAGE EU</t>
  </si>
  <si>
    <t>PDP ENVOYÉ LE 14/01/2026</t>
  </si>
  <si>
    <t>34 ET 36 PHILLIPEVILLE</t>
  </si>
  <si>
    <t>REMPLACEMENT PORTE DE HALL</t>
  </si>
  <si>
    <t>3,5,7,9,10,12,16,18 N° RUE DES ERABLES - DORMANS (ER.T1552)</t>
  </si>
  <si>
    <t>REMPLACEMENT PLAQUE BETON COMPTEUR EAU (X8)</t>
  </si>
  <si>
    <t>7/9 LESAGE</t>
  </si>
  <si>
    <t>TS LOGEMENT INSALUBRE</t>
  </si>
  <si>
    <t>AVIPUR</t>
  </si>
  <si>
    <t>REIMS - COLLÉGIUM</t>
  </si>
  <si>
    <t>REMPLACEMENT MEN.EXT</t>
  </si>
  <si>
    <t>14/04: VU ETS :CLT RDV FIXÉE EN DIRECT 17/02:EMAIL LAC/ETS =&gt; RELANCE</t>
  </si>
  <si>
    <t>27/01 : DDE DEVIS MAJ LAC/ETS</t>
  </si>
  <si>
    <t>8 E  RUE EMILE CHEYSSON</t>
  </si>
  <si>
    <t>RAMPE PMR HALL + 3 MAINS COURANTES ESCALIER</t>
  </si>
  <si>
    <t>RUE PAVILLON BAZIN</t>
  </si>
  <si>
    <t>REFECTION VOIRIE ET ACCES 4 GARAGES PAVILLON</t>
  </si>
  <si>
    <t>19 RUE 4 AOUT ST BRICE COURCELLES</t>
  </si>
  <si>
    <t>VOLET ROULANT</t>
  </si>
  <si>
    <t>8A GABRIEL PERI</t>
  </si>
  <si>
    <t>REMPL PORTE HALL</t>
  </si>
  <si>
    <t>60 COMMUNE</t>
  </si>
  <si>
    <t>SDB</t>
  </si>
  <si>
    <t>FLAPORTE</t>
  </si>
  <si>
    <t>42 MONNET MUIZON</t>
  </si>
  <si>
    <t>DOUCHE</t>
  </si>
  <si>
    <t>3 À 7 RUE VOLTAIRE - TINQUEUX</t>
  </si>
  <si>
    <t>RÉFECTION DES ACCÈS GARAGE 3 PAV</t>
  </si>
  <si>
    <t>MORISOT/ DUFY/ LAURENCIN</t>
  </si>
  <si>
    <t>SUITE RESIDENTIALISATION EV</t>
  </si>
  <si>
    <t>31 MIDDELKERKE - LOCAL RDC</t>
  </si>
  <si>
    <t>AVENANT - MISE EN PLACE GARDE CORPS X1</t>
  </si>
  <si>
    <t>DONCHERY</t>
  </si>
  <si>
    <t>RUE DE NANCY 08 NOUVION SUR MEUSE</t>
  </si>
  <si>
    <t>ENTRETIEN COUVERTURE</t>
  </si>
  <si>
    <t>COUVERTURE OU REPRISE RIVE ZINGUERIE</t>
  </si>
  <si>
    <t>REMPLACEMENT PORTE D'ENTRÉE</t>
  </si>
  <si>
    <t>MARCEL DUFRESNE</t>
  </si>
  <si>
    <t>CARIGNAN DE GAULLE</t>
  </si>
  <si>
    <t>AMÉNAGEMENT EXT</t>
  </si>
  <si>
    <t>RG TRANSPORTS ET TP</t>
  </si>
  <si>
    <t>NOUVION RUES RECHU GUILLAUME SOURDE ARMAND MALAISE MEON 28 U</t>
  </si>
  <si>
    <t>ACCES ET DEPLACEMENT COFFRET</t>
  </si>
  <si>
    <t>BAZEILLES - LE MONTANT DES GREVES 3</t>
  </si>
  <si>
    <t>BAZEILLES - LE MONTANT DES GREVES</t>
  </si>
  <si>
    <t>DONCHERY LA FONTAINE DU RUTZ</t>
  </si>
  <si>
    <t>MOUZON VAL DES MOINES 2</t>
  </si>
  <si>
    <t>PARC DE FRENOIS 2</t>
  </si>
  <si>
    <t>84 À 88 COURONNES DES INDES 2 À 14 AUBERT ROCHE - VLF</t>
  </si>
  <si>
    <t>REMPLACEMENT DES GRILLAGES</t>
  </si>
  <si>
    <t>5 RUE DE LA PAIX - VLF</t>
  </si>
  <si>
    <t>RÉFECTION GRILLAGE MITOYEN</t>
  </si>
  <si>
    <t>FAIT MAIS ERREUR DE TRANCHE</t>
  </si>
  <si>
    <t>16, 18, 20 AUBERT ROCHE - VLF</t>
  </si>
  <si>
    <t>RÉFECTION ISOLATION SOUS FACE DALLE EXTÉRIEUR</t>
  </si>
  <si>
    <t>MENUISERIE HOCQUET</t>
  </si>
  <si>
    <t>3 RUE ABBÉ GRUET - SAINT DIZIER</t>
  </si>
  <si>
    <t>RÉFECTION DES TERRASSES EXT ER24470</t>
  </si>
  <si>
    <t>3A, 3B RUE DE L'ABBÉ GRUET - ST DIZIER</t>
  </si>
  <si>
    <t>RÉFECTION DU MURET PIERRE LE LONG DU CHEMIN DE LA MARNE</t>
  </si>
  <si>
    <t>PETIT PRINCE - SAINT DIZIER</t>
  </si>
  <si>
    <t>RÉFECTION DES WC SUITE REMPLACEMENTT EU</t>
  </si>
  <si>
    <t>PB À JOINDRE LOCATAIRES</t>
  </si>
  <si>
    <t>86 ET 88 COURONNES DES INDES ET 2 AUBERT ROCHE - VLF</t>
  </si>
  <si>
    <t>RAVALEMENT DE 3 PAVILLONS</t>
  </si>
  <si>
    <t>ADM</t>
  </si>
  <si>
    <t>34 CASSIN - VLF</t>
  </si>
  <si>
    <t>REMISE EN PEINTURE CAGE D'ESCALIER</t>
  </si>
  <si>
    <t>RUE LAMARTINE - SAINT DIZIER</t>
  </si>
  <si>
    <t>RÉFECTION RAGRÉAGE SOL BALCONS (ENVIRON 15 BALCONS)</t>
  </si>
  <si>
    <t>JEAN MONNET - SAINT DIZIER</t>
  </si>
  <si>
    <t>RÉFECTION DES ENDUITS + PEINTURE DU DERNIER ÉTAGE</t>
  </si>
  <si>
    <t>4 RAMEAU - SAINT DIZIER</t>
  </si>
  <si>
    <t>RÉVISION PORTES DE HALL ET PORTILLON</t>
  </si>
  <si>
    <t>REMISE EN PEINTURE HALL ET R-1</t>
  </si>
  <si>
    <t>BF PEINTURE</t>
  </si>
  <si>
    <t>68 À 72 RUE FRANÇOIS 1ER - SAINT DIZIER</t>
  </si>
  <si>
    <t>MISE EN PLACE LUMINAIRES LED À DÉTECTION</t>
  </si>
  <si>
    <t>PISANI INDIVIDUEL - SAINT DIZIER</t>
  </si>
  <si>
    <t>LESSIVAGE DES FAÇADES</t>
  </si>
  <si>
    <t>18 RUE DU BOIS CRANCÉ - VLF</t>
  </si>
  <si>
    <t>RÉFECTION DU CARRELAGE QUI SE DÉCOLLE</t>
  </si>
  <si>
    <t>RÉFECTION CARRELAGE SOUS LE PORCHE</t>
  </si>
  <si>
    <t>ETANG ROZET - SAINT DIZIER</t>
  </si>
  <si>
    <t>ER.35144 - RÉFECTION CARRELAGE</t>
  </si>
  <si>
    <t>RÉSIDENCE PETIT PRINCE</t>
  </si>
  <si>
    <t>DEUX POMPES CHAUFFAGES COPRO (ADF)</t>
  </si>
  <si>
    <t>ASL DU PETIT PRINCE</t>
  </si>
  <si>
    <t>RÉFECTION DE L'ÉTANCHÉITÉ DE LA TERRASSE</t>
  </si>
  <si>
    <t>AED EXPERTISES</t>
  </si>
  <si>
    <t>2 RUE DE BENIVALLES - SAINT DIZIER</t>
  </si>
  <si>
    <t>REMPLACEMENT DES VOLETS BATTANTS POUR DES VOLETS ROULANTS</t>
  </si>
  <si>
    <t>22 BD GAMBETTA - SAINT DIZIER</t>
  </si>
  <si>
    <t>RÉFECTION VERRIÈRE AU DESSUS PORTE DE GARAGE (COPRO ADF)</t>
  </si>
  <si>
    <t>RÉFECTION TERRASSE BOIS ER.24471</t>
  </si>
  <si>
    <t>14 RUE DE L'HOTEL DIEU - BLANCS COTEAUX</t>
  </si>
  <si>
    <t>REMPLACEMENT CAISSON VENTILATION</t>
  </si>
  <si>
    <t>43 SERBIE ER.06215 03B</t>
  </si>
  <si>
    <t>ISOLATION 2 PANS DE MURS CH ET SEJOUR</t>
  </si>
  <si>
    <t>PETERMANN PHILIPPE</t>
  </si>
  <si>
    <t>BORIS VIAN - SAINT BRICE COURCELLE</t>
  </si>
  <si>
    <t>CREATION VMC</t>
  </si>
  <si>
    <t>2 RUE DE BENIVALLES - SAINT DIZIERS</t>
  </si>
  <si>
    <t>RACCORDEMENT ELECTRIQUE VOLET</t>
  </si>
  <si>
    <t>REMPLACEMENT PORTE ENTRÉE</t>
  </si>
  <si>
    <t>MARTIN JEAN-PIERRE MENUISERIE</t>
  </si>
  <si>
    <t>027  RUE DE LA GARENNE</t>
  </si>
  <si>
    <t>REGUL 2025 DOUBLON FACTURE SRK</t>
  </si>
  <si>
    <t>REMPLACEMENT AU COUP PAR COUP DES VOLETS SOLAIRES</t>
  </si>
  <si>
    <t>2A ET 2B RUE BILLECART - AY CHAMPAGNE</t>
  </si>
  <si>
    <t>32 RUE TERRES SAINT REMY</t>
  </si>
  <si>
    <t>TS RAVALEMENT ARRIERE</t>
  </si>
  <si>
    <t>8 LECOINTRE (ER.19034)</t>
  </si>
  <si>
    <t>REMPLACEMENT DU CHENEAU</t>
  </si>
  <si>
    <t>7 ALLÉE LÉO DELIBES - EPERNAY (ER.E1614.006.006)</t>
  </si>
  <si>
    <t>CREATION CLOISON DANS LE HALL HAUT</t>
  </si>
  <si>
    <t>MSBI DEVIS EN COURS</t>
  </si>
  <si>
    <t>4 KERGUELEN 04A ER.06433</t>
  </si>
  <si>
    <t>ELECTRISATION VR LOGEMENT</t>
  </si>
  <si>
    <t>25 CHANOINE LALLEMENT ER.01175</t>
  </si>
  <si>
    <t>REMPLACEMENT FENETRE DE CHAMBRE</t>
  </si>
  <si>
    <t>82 RUE D'ANGOULEME, CORBEIL-ESSONNES</t>
  </si>
  <si>
    <t>REGUL 2025 - MISE EN PEINTURE DU HALL</t>
  </si>
  <si>
    <t>CROIX DU SUD 17 MORISOT +41 NEWTON + DIVERS</t>
  </si>
  <si>
    <t>REMPLACEMENT DES PORTES HALLS</t>
  </si>
  <si>
    <t>DEMANDE DE DEVIS A S4C LE 15/04/26 POUR INTERVENTION SUR VISO</t>
  </si>
  <si>
    <t>DEMANDE DE DEVIS POUR LE 4 LAURENCIN ET LE 41 NEWTON LE 24/03/26</t>
  </si>
  <si>
    <t>3, 9 ET 11 RUE MONTESQUIEU, SGDB</t>
  </si>
  <si>
    <t>REPRISE DES DÉSORDRES SUITE REHAB</t>
  </si>
  <si>
    <t>ACORUS</t>
  </si>
  <si>
    <t>12, 14 ET 16 RUE DE LA PAPETERIE, CORBEIL ESSONNES</t>
  </si>
  <si>
    <t>MISE EN PLACE D'UN ECLAIRAGE PROVISOIRE</t>
  </si>
  <si>
    <t>6 RUE DE BEZANNES</t>
  </si>
  <si>
    <t>RÉFECTION TOITURE (DEVIS POLET)</t>
  </si>
  <si>
    <t>POLET CHRISTOPHE</t>
  </si>
  <si>
    <t>1/3 ALLÉE DES FLAMANDES 3 JACQUES BREL</t>
  </si>
  <si>
    <t>RÉNOVATION ÉLECTRIQUE PARTIES COMMUNES + CONSUEL SG</t>
  </si>
  <si>
    <t>S4C ET DEMANDE DE RACCORDEMENT ENEDIS A FAIRE</t>
  </si>
  <si>
    <t>REIMS - PONSARDIN 29-29BIS  (ER.B1464.001)</t>
  </si>
  <si>
    <t>REPRISE CARRELAGE DECOLLÉE - ER.28531</t>
  </si>
  <si>
    <t>15/09 : VU ETS =&gt; INTERV PREV - A CONFIRMER AVEC CLIENT</t>
  </si>
  <si>
    <t>DU 15 AU 27 TAISSY</t>
  </si>
  <si>
    <t>REMPL VANNE ARRET AEP 3 POUCE ET PARTIE GALVA</t>
  </si>
  <si>
    <t>1-5 ANJOU - EPERNAY</t>
  </si>
  <si>
    <t>REPRISE MURET BETON DU TALUS</t>
  </si>
  <si>
    <t>8 RUE BAPTISTE MARCET - CHÂLONS</t>
  </si>
  <si>
    <t>ER.26651: &lt;RÉFECTION PEINTURE SUITE PANNE VMC</t>
  </si>
  <si>
    <t>TS COIFFE LUCARNE</t>
  </si>
  <si>
    <t>57 BOUCLE BELLE JOSÉPHINE, MAGNY-LE-HONGRE</t>
  </si>
  <si>
    <t>ISOLATION COMBLES - ER.28694</t>
  </si>
  <si>
    <t>REMPLACEMENT DES RESEAUX EN FONTES DANS LES COURSIVES</t>
  </si>
  <si>
    <t>51 BVD GAY LUSSAC (ER.B1428.001)</t>
  </si>
  <si>
    <t>REPRISE ÉTANCHÉITÉ DES BALCONS PARTIE 2</t>
  </si>
  <si>
    <t>HABILLAGE DES LUCARNES</t>
  </si>
  <si>
    <t>COPRO JEAN JAURES</t>
  </si>
  <si>
    <t>ADF PLATINE GAINES</t>
  </si>
  <si>
    <t>SDC JEAN JAURES</t>
  </si>
  <si>
    <t>134 BROSSOLLETTE</t>
  </si>
  <si>
    <t>ADF REMPLACEMENT PORTE CHAUFFERIE</t>
  </si>
  <si>
    <t>SDC BROSSOLETTE</t>
  </si>
  <si>
    <t>SDC DEKETELAERE</t>
  </si>
  <si>
    <t>ADF ECLAIRAGE</t>
  </si>
  <si>
    <t>VDELACOURT</t>
  </si>
  <si>
    <t>14 MORISOT</t>
  </si>
  <si>
    <t>REPRISE ITE SUITE SINISTRE INCENDIE</t>
  </si>
  <si>
    <t>TRAVAUX RECEPTIONNES LE 25.02.26 AVEC ADEM ET LA SAPE</t>
  </si>
  <si>
    <t>BAZANCOURT - RUE JACQUART</t>
  </si>
  <si>
    <t>REMPLACEMENT VR</t>
  </si>
  <si>
    <t>28/01 : DELAI CONVENUE AVEC ETS</t>
  </si>
  <si>
    <t>22 BATTESTI</t>
  </si>
  <si>
    <t>FOURNITURE DE CLÉS CONNECTÉES</t>
  </si>
  <si>
    <t>INTEGRAL SYSTEME</t>
  </si>
  <si>
    <t>FOURNITURE</t>
  </si>
  <si>
    <t>EDME MOREAU</t>
  </si>
  <si>
    <t>DEPOSE REPOSE INTERPHONIE</t>
  </si>
  <si>
    <t>4 RUE ALPHONSE NAUDIN (ER.E0066.001.002)</t>
  </si>
  <si>
    <t>RÉFECTION PALIERS (SOLS/MURS/PLAFOND) ET REMPLACEMENT PORTES VITRÉES (2/3)</t>
  </si>
  <si>
    <t>NICOLETTA FANTONI</t>
  </si>
  <si>
    <t>129 RUE DU MONT D'ARENE</t>
  </si>
  <si>
    <t>REMPLACEMENT PORTE FENÊTRE</t>
  </si>
  <si>
    <t>EMB EMEBAT</t>
  </si>
  <si>
    <t>15 GENEVOIX - CHÂLONS</t>
  </si>
  <si>
    <t>ER.21157 - RÉFECTION RÉSEAU CHAUFFAGE</t>
  </si>
  <si>
    <t>SARL EPC</t>
  </si>
  <si>
    <t>43 SEBASTOPOL</t>
  </si>
  <si>
    <t>IMPERMEABILISATION DE BALCON</t>
  </si>
  <si>
    <t>7 ARGONAUTES ER.33959</t>
  </si>
  <si>
    <t>LGT INCLUSIF REMPLCER PAROI ET PORTE DE DOUCHE</t>
  </si>
  <si>
    <t>RÉFECTION ÉCLAIRAGE PARKING</t>
  </si>
  <si>
    <t>MUST- IDEX ENERGIES BAR-LE-DUC</t>
  </si>
  <si>
    <t>RAVALEMENT DU PARKING</t>
  </si>
  <si>
    <t>MURS PEINTS SAS</t>
  </si>
  <si>
    <t>RECEPTION LE 18/03/2026</t>
  </si>
  <si>
    <t>9 RUE ORLÉANS PORTE GAINE SOUS-SOL</t>
  </si>
  <si>
    <t>AMBROISE CROIZAT</t>
  </si>
  <si>
    <t>REFECTION ETANCHEITE</t>
  </si>
  <si>
    <t>7 BD GRANDTHILLE - CHÂLONS</t>
  </si>
  <si>
    <t>RÉFECTION TERRASSON</t>
  </si>
  <si>
    <t>DRIGET SARL</t>
  </si>
  <si>
    <t>REMPALCEMENT GRILLAGE MITOYEN</t>
  </si>
  <si>
    <t>32 RUE DE LA HAUTE VILLE ER.24432</t>
  </si>
  <si>
    <t>REPRISE GOUTTIERE ARDENAISE NON CALIBRÉE</t>
  </si>
  <si>
    <t xml:space="preserve"> AFN ER.15382/ ER.16505/ER.15381/ ER,15383</t>
  </si>
  <si>
    <t>SUPPRESSION DES HAIES DEMOUSSAGE</t>
  </si>
  <si>
    <t>SAS DIJICLEAN</t>
  </si>
  <si>
    <t>04 SIMON DAUPHINOT RCK FATMI ER.15399</t>
  </si>
  <si>
    <t>POSE DE 6 VR ELEC VELUX</t>
  </si>
  <si>
    <t>9 INDIVIDUELS RUE LÉOPOLD CHARPENTIER (ER.T0531)</t>
  </si>
  <si>
    <t>DÉMOUSSAGE</t>
  </si>
  <si>
    <t>13 ET 14 RUE D'HOLBACH, SGDB</t>
  </si>
  <si>
    <t>PEINTURE DE LA CAGE D'ESCALIER</t>
  </si>
  <si>
    <t>6 BERTRAND DE VOGUE ER.16528</t>
  </si>
  <si>
    <t>REMPL MOQUETTE PAR PVC</t>
  </si>
  <si>
    <t>46  AV. DU GENERAL BONAPARTE 04 B</t>
  </si>
  <si>
    <t>REMPLACEMENT DOUCHE COMPLETE</t>
  </si>
  <si>
    <t>FOYER ARPAVIE</t>
  </si>
  <si>
    <t>REMPLACEMENT DES ROBINETS EXTERIEURS</t>
  </si>
  <si>
    <t>01.09.2026: NOUVEAU DEVIS EN COURS REIMS CHAUFFAGE</t>
  </si>
  <si>
    <t>(23-25)-(27-29)-(31-33)-34 RUE DES ERABLES - DORMANS (ER.T1553)</t>
  </si>
  <si>
    <t>REMPLACEMENT PLAQUE BETON COMPTEUR EAU (X4)</t>
  </si>
  <si>
    <t>ECLAIRAGE EXTÉRIEUR - TETES DE MATS</t>
  </si>
  <si>
    <t>37 STRASBOURG</t>
  </si>
  <si>
    <t>REMONTÉES CAPILAIRES</t>
  </si>
  <si>
    <t>FOYER MGEL 46 RUE HENRI ROYER (ER.43068)</t>
  </si>
  <si>
    <t>REPRISE TRAME ITE SUITE INFILTRATIONS</t>
  </si>
  <si>
    <t>REIMS - RUE DE BOUZY 13-15 (ER.B1355.001)</t>
  </si>
  <si>
    <t>VERIFICATION FACADES ET REPRISES EVENTUELLES</t>
  </si>
  <si>
    <t>LERMUSIAUX</t>
  </si>
  <si>
    <t>1 A 11 RUE DU BOIS GARRY - ESTERNAY</t>
  </si>
  <si>
    <t>REMPLACEMENT DES JONCTIONS EU EN CAVE</t>
  </si>
  <si>
    <t>GARAGE IND RUE COLONEL LE BOULANGER 3/7/9/11/13/15/19</t>
  </si>
  <si>
    <t>ENDUITS COMPLEMENTAIRES</t>
  </si>
  <si>
    <t xml:space="preserve"> 57  AV. DU 29 AOUT 1944</t>
  </si>
  <si>
    <t>REMPL PISSETTES+ TRAITEMENT RÉSINE ETANCHÉITÉ DES BALCONS</t>
  </si>
  <si>
    <t>79 LOUVOIS 03B 77 LOUVOIS MOSSAOUI FICHE ENTRETIEN CLIENT VOIR JUSTINE</t>
  </si>
  <si>
    <t>REMPL PLACHER BOIS BALCON DU 77 01A</t>
  </si>
  <si>
    <t>MENUISERIE MEYER</t>
  </si>
  <si>
    <t>234 ET 236 PEROUSE M.BOULAL ER.06867</t>
  </si>
  <si>
    <t>REMANIEMENT JARDISN ET ENGAZONNEMENT SUITE TRX MACONNERIE</t>
  </si>
  <si>
    <t>REMPLACEMENT D'UNE TOURELLE DE VENTILATION</t>
  </si>
  <si>
    <t>24 RUE YOURI GAGARINE 51420 WITRY-LES-REIMS</t>
  </si>
  <si>
    <t>REFECTION TERRASSE</t>
  </si>
  <si>
    <t>22 C BATTESTI RDC B</t>
  </si>
  <si>
    <t>ÉTANCHÉITÉ PAROI ENTERRÉE</t>
  </si>
  <si>
    <t>PDP ENVOYÉ LE 14/1/2025</t>
  </si>
  <si>
    <t>116 E PVC</t>
  </si>
  <si>
    <t>REMPLACEMENT DE LA PORTE FENETRE HS</t>
  </si>
  <si>
    <t>PDP ENVOYÉ LE 19/1/26</t>
  </si>
  <si>
    <t>45 ZOLA</t>
  </si>
  <si>
    <t>REMPLACEMENT DE PORTE DE GARAGE</t>
  </si>
  <si>
    <t>DOITRAND FRERES</t>
  </si>
  <si>
    <t>1 RUE VERCINGETORIX ER.00302</t>
  </si>
  <si>
    <t>REFECTIN DU PLANCHER</t>
  </si>
  <si>
    <t>4 BERGIER</t>
  </si>
  <si>
    <t>REMPLACEMENT CABINE DE DOUCHE</t>
  </si>
  <si>
    <t>HEATING INSTALLATION</t>
  </si>
  <si>
    <t>20 RUE JAN PALACH</t>
  </si>
  <si>
    <t>REMPLACEMENT DE SF BALCON</t>
  </si>
  <si>
    <t xml:space="preserve"> PINOT STEPHANE MULTISERVICES</t>
  </si>
  <si>
    <t>3 BOULANGER ER.00045</t>
  </si>
  <si>
    <t>REMPLACEMENT D4UNE PARTIE RESEAU EU EN GRE</t>
  </si>
  <si>
    <t>1 PELTHIER 02B ER.18778</t>
  </si>
  <si>
    <t>REMPL PF FUYARDE</t>
  </si>
  <si>
    <t>ER.26540</t>
  </si>
  <si>
    <t>REMPLACER CARRELAGE PAR SOL PVC CUISINE</t>
  </si>
  <si>
    <t>ER.26517</t>
  </si>
  <si>
    <t>1 RUE ALEXIS DE TOCQUEVILLE (ER.E0287.003.001)</t>
  </si>
  <si>
    <t>RAVALEMENT EXTERIEUR SUITE REFECTION ÉTANCHÉITÉ COURSIVE</t>
  </si>
  <si>
    <t>TRAVAUX RECEPTIONNES LE 04.03.2026</t>
  </si>
  <si>
    <t>13 ET 14 RUE GABRIEL LIPPMANN (ER.981) (ER.980)</t>
  </si>
  <si>
    <t>CURAGE ET NETTOYAGE DES EVACUATIONS</t>
  </si>
  <si>
    <t>28 HENRIOT</t>
  </si>
  <si>
    <t>ABBATATGE D ARBRE</t>
  </si>
  <si>
    <t>MISE EN SECURITE ELECTRIQUE</t>
  </si>
  <si>
    <t>123 ET 125 ALLÉE DES VIOLETTES - AY CHAMPAGNE</t>
  </si>
  <si>
    <t>REMPLACEMENT DES RADIATEURS GAZ (ER.64226)</t>
  </si>
  <si>
    <t>5 RUE CRANCE - VLF</t>
  </si>
  <si>
    <t>REMISE EN ETAT RESEAU CHAUFFAGE</t>
  </si>
  <si>
    <t>POSE DOUCHE ER.21305</t>
  </si>
  <si>
    <t>60 ALLÉE CONDORCET, SEVRAN</t>
  </si>
  <si>
    <t>REMPLACEMENT VOLET FIN GPA</t>
  </si>
  <si>
    <t>23 RUE DES TROIS GARES - MONTMIRAIL</t>
  </si>
  <si>
    <t>REPRISE EN SOUS ŒUVRE SUITE FISSURATION</t>
  </si>
  <si>
    <t>11 CH DE LA PORTE VERTE, MONTEVRAIN</t>
  </si>
  <si>
    <t>RACHAT - REMANIAGE DE COUVERTURE EN TUILES</t>
  </si>
  <si>
    <t>10 RUE RAOUL DUFY ER.E019.004.0012</t>
  </si>
  <si>
    <t>ADF NON PROGRAMME LUCARNE</t>
  </si>
  <si>
    <t>199 COURCELLES</t>
  </si>
  <si>
    <t>REMPLACEMENT DE DOUCHE</t>
  </si>
  <si>
    <t>REFECTION ETANCHEITE COURSIVE</t>
  </si>
  <si>
    <t>67 PEROUSE ER.07535</t>
  </si>
  <si>
    <t>REMPLACER CLOTURE SEPARATIVE JARDIN Y COMPRIS OCCULTANT</t>
  </si>
  <si>
    <t>LEPOIRE S.A.S.</t>
  </si>
  <si>
    <t>ALLÉE DES NAUX</t>
  </si>
  <si>
    <t>ABATTAGE/ ELAGAGE/ ARRACHAGE DE HAIES</t>
  </si>
  <si>
    <t>05/05/26 DEVIS DEMANDE A EDIVERT</t>
  </si>
  <si>
    <t>3MARCEL FORESTIER (ER.12417)</t>
  </si>
  <si>
    <t>CRÉATION ENTRÉE PRIVATIVE</t>
  </si>
  <si>
    <t>RDV AVEC TEH LE 20/05/2026/ EN ATTENTE DE DEVIS</t>
  </si>
  <si>
    <t>3 RUE CASSIN</t>
  </si>
  <si>
    <t>RÉFECTION LINTEAU</t>
  </si>
  <si>
    <t>PROMENADES - FISMES</t>
  </si>
  <si>
    <t>POSE VMC COLLECTIVE CP 16 M FRANCE</t>
  </si>
  <si>
    <t>MUST</t>
  </si>
  <si>
    <t>GARAGE DUFY</t>
  </si>
  <si>
    <t>REPORT 2025</t>
  </si>
  <si>
    <t>ARISTOS</t>
  </si>
  <si>
    <t>CROIX DU SUD SUITE RÉHA</t>
  </si>
  <si>
    <t>REMPLACEMENT DES PP</t>
  </si>
  <si>
    <t>28/05/2026 EN ATTENTE RETOUR NAM</t>
  </si>
  <si>
    <t>420 À 502  BD. DE MALSCH - SEZANNE</t>
  </si>
  <si>
    <t>REFECTION DES CHENEAUX</t>
  </si>
  <si>
    <t>MG BATIMENT EIRL</t>
  </si>
  <si>
    <t>16 RUE DE TURENNE</t>
  </si>
  <si>
    <t>10 RUE MICHEL HAMAIDE</t>
  </si>
  <si>
    <t>BEZANNES</t>
  </si>
  <si>
    <t>RELANCE FAITE LE 28/05/26</t>
  </si>
  <si>
    <t>1 ALLEE DE LA VANETTE</t>
  </si>
  <si>
    <t>A B C AUTOMATISMES</t>
  </si>
  <si>
    <t>RELANCE FAITE LE 28/05/2026</t>
  </si>
  <si>
    <t>COLLECTIFS DEMOLIN (20 AU 30)</t>
  </si>
  <si>
    <t>TS 32 DEMOLIN</t>
  </si>
  <si>
    <t>225 BARBATRE  ER.E0229.001.225</t>
  </si>
  <si>
    <t>REVISION FACADE ARR COTE COUR JOUXTANT COMMERCE</t>
  </si>
  <si>
    <t>LES MURS ROMAIN</t>
  </si>
  <si>
    <t>RÉFECTION TOITURE TERRASSE + TOITURE HALL</t>
  </si>
  <si>
    <t>EN COURS DE DÉSIGNATION</t>
  </si>
  <si>
    <t>7 AU 13 PAUL DOUMER CORMONTREUIL</t>
  </si>
  <si>
    <t>REPRISE ETANCHEITE BALCONS ET REPRISES ENDUIT SOUS FACE PORCHE GARAGE</t>
  </si>
  <si>
    <t>DEVIS EN COURS NICOLLETA</t>
  </si>
  <si>
    <t>4 RUE DES GLACIS - FISMES</t>
  </si>
  <si>
    <t>REMPLACEMENT PORTE VO + PORTE HALL ENTRÉE (ARRIÈRE)</t>
  </si>
  <si>
    <t>URGENT DEVIS AGNESINA ET PORTILLON</t>
  </si>
  <si>
    <t>11,13,15 MAURICE GENEVOIX - CHÂLONS</t>
  </si>
  <si>
    <t>REMPLACEMENT FRISETTES SUR MURS, DALLES DE FAUX PLAFOND ET LUMINAIRE</t>
  </si>
  <si>
    <t>76 RUE DES ROMAINS</t>
  </si>
  <si>
    <t>REFECTION DE CORNICHE</t>
  </si>
  <si>
    <t>9 PRIEUR DE LA MARNE</t>
  </si>
  <si>
    <t>44 RUE MICHEL SIMON (ER,12413)</t>
  </si>
  <si>
    <t>REPRISE DES ÉVACUATIONS DES EP DANS LA COUR INTÉRIEURE</t>
  </si>
  <si>
    <t>04/05/2026 : DEVIS DEMANDE A TEH</t>
  </si>
  <si>
    <t>46 RUE VICTOR LAMBERT</t>
  </si>
  <si>
    <t>REMPLACEMENT DE SOL</t>
  </si>
  <si>
    <t>MJ RENOV</t>
  </si>
  <si>
    <t>SUITE OS 5073465</t>
  </si>
  <si>
    <t>23 RUE DU 8 MAI - MAREUIL LE PORT</t>
  </si>
  <si>
    <t>DEMOLITION CHEMINEE</t>
  </si>
  <si>
    <t>1, 3 COURONNE DES INDES - VLF</t>
  </si>
  <si>
    <t>ENTRETIEN COUVERTURE (5,7)</t>
  </si>
  <si>
    <t>77 RUE DE BRIMONTEL (ER.B0058.001)</t>
  </si>
  <si>
    <t>REMISE EN PEINTURE DE LA CAGE</t>
  </si>
  <si>
    <t>LAGARDE ET MEREGNANI</t>
  </si>
  <si>
    <t xml:space="preserve">COMPRIS DANS LE PGC DE L'ASCENSEUR </t>
  </si>
  <si>
    <t>2 RUE AUBERT ROCHE - VITRY LE FRANÇOIS</t>
  </si>
  <si>
    <t>TAILLAGE HAIE POUR RAVALEMENT</t>
  </si>
  <si>
    <t>10 RUE DE LA SOURCE - VITRY LE FRANÇOIS</t>
  </si>
  <si>
    <t>ABATTAGE ARBRE</t>
  </si>
  <si>
    <t>1 RUE OLYMPE DE GOUGES - VITRY LE FRANÇOIS</t>
  </si>
  <si>
    <t>COPRO : RAVALEMENT FAÇADE</t>
  </si>
  <si>
    <t>COPROPRIETE  VILLA VICTORIA</t>
  </si>
  <si>
    <t>DÉMOUSSAGE 2EME PARTIE</t>
  </si>
  <si>
    <t>SUPPRESSION DE BRIQUETTE</t>
  </si>
  <si>
    <t>4  COUR CHANTEPIE, CROISSY-BEAUBOURG</t>
  </si>
  <si>
    <t>RACHAT - REMPLACEMENT RESEAU VMC</t>
  </si>
  <si>
    <t>RACHAT - REMPLACEMENT ISOLATION COMBLES</t>
  </si>
  <si>
    <t>12A CARNOT - SAINT DIZIER</t>
  </si>
  <si>
    <t>MISE AUX NORMES ACCÈS TOITURE</t>
  </si>
  <si>
    <t>45 JEAN JAURES FISMES</t>
  </si>
  <si>
    <t>10 TAMARIS</t>
  </si>
  <si>
    <t>ETANCHEITE TERRASSE SUR CAVE</t>
  </si>
  <si>
    <t>PAVILLONS AV CHARLES FANDRE - CÔTÉ IMPAIR</t>
  </si>
  <si>
    <t>IMPERMÉABILISATION DE BALCON</t>
  </si>
  <si>
    <t>28 ALLE DU FORT CHABROL - EPERNAY</t>
  </si>
  <si>
    <t>F ET P VMC HYGO B</t>
  </si>
  <si>
    <t>REMPLACEMENT D'UNE PARTIE DE LA COLONNE EU</t>
  </si>
  <si>
    <t>A ANNULER - TX REALISE PAR AGENCE  _ MUST = 471.09 EUROS TTC</t>
  </si>
  <si>
    <t>ADF NON PROGRAMMÉ LUCARNE</t>
  </si>
  <si>
    <t>25 HENROT</t>
  </si>
  <si>
    <t>NETTOYAGE DE FAÇADE PAR DRONE</t>
  </si>
  <si>
    <t>AGREEGO</t>
  </si>
  <si>
    <t>2 À 8 BEAUVOIR</t>
  </si>
  <si>
    <t>RAVALEMENT DE FAÇADE PAR DRONE</t>
  </si>
  <si>
    <t>10 RUE DE L'ARQUEBUSE - SAINT DIZIER</t>
  </si>
  <si>
    <t>RÉPARATION URGENTE EU</t>
  </si>
  <si>
    <t>REIMS - COPRO COUTURE LAGRIVE</t>
  </si>
  <si>
    <t>RÉNOVATION ÉNERGÉTIQUE (ADF)</t>
  </si>
  <si>
    <t>SDC COUTURES LAGRIVE</t>
  </si>
  <si>
    <t>19/02: ADF FOLIO 2195799 (SPI ALLUR)</t>
  </si>
  <si>
    <t>18/02: ADF FOLIO 2195804 (VIR TVX)</t>
  </si>
  <si>
    <t>REIMS - COLLÉGIUM - 29A ST MARCEAUX</t>
  </si>
  <si>
    <t>REMPLACMT P.PALIÈRES (T2 - 3/4)</t>
  </si>
  <si>
    <t>REIMS - COLLÉGIUM - 01D G.CLEMENCEAU</t>
  </si>
  <si>
    <t>REMPLACMT PORTES PALIÈRES (T2 - 3/4)</t>
  </si>
  <si>
    <t>17/02:RELANCE ETS POUR DEVIS</t>
  </si>
  <si>
    <t>27/01: DDE DEVIS MAJ (EMAIL LAC/ETS)</t>
  </si>
  <si>
    <t>REIMS - RUE DE BOUZY - GARAGE (ER.T1355)</t>
  </si>
  <si>
    <t>ADF1 - REFECTION ETANCHEITÉ PUITS DE LUMIÈRE</t>
  </si>
  <si>
    <t>SACCLO GARAGE BOUZY S0098</t>
  </si>
  <si>
    <t>12/05/26 : ADF1 VISÉE LE 12/05 (FOLIO 2224480)</t>
  </si>
  <si>
    <t>7 TER AV. G. POMPIDOU, SUCY-EN-BRIE</t>
  </si>
  <si>
    <t>REMP. POMPE RELEVAGE</t>
  </si>
  <si>
    <t>REFECTION DE LA TOITURE ET DE LA CORNICHE</t>
  </si>
  <si>
    <t>LE BATIMENT ASSOCIE</t>
  </si>
  <si>
    <t>4 KERGUELEN</t>
  </si>
  <si>
    <t>APPEL DE FOND DALLE BETON LOCAUX COMMUNS CAVES</t>
  </si>
  <si>
    <t>REMPLACEMENT MOQUETTE PAR SOLS PVC CH ET SEJOUR</t>
  </si>
  <si>
    <t>9 RUE COLONEL LE BOULANGER ER.00048</t>
  </si>
  <si>
    <t>ABATTAGE SAPIN EN AVANT JARDIN</t>
  </si>
  <si>
    <t>15 JEAN CESAREE ER.15854</t>
  </si>
  <si>
    <t>REVISION ESCALIER, DOUBLAGE ET CREATION VENTIL CAVE</t>
  </si>
  <si>
    <t>32C BIZET ER.26557</t>
  </si>
  <si>
    <t>REMPLACEMENT CABANON JARDIN</t>
  </si>
  <si>
    <t>50 MAISON BLANCHE</t>
  </si>
  <si>
    <t>REMPLACEMENT BATTERIE DE BAL Y COMPRIS LES DEUX PAVILLONS</t>
  </si>
  <si>
    <t>46/48 GAMA</t>
  </si>
  <si>
    <t>REMPLACEMENT CLOTURE SEPARATIVE</t>
  </si>
  <si>
    <t>3 RUE DES ESSILLARDS ER.00403</t>
  </si>
  <si>
    <t>COMPLEMENT ISOLATION COMBLES (NON PRIS APEP)</t>
  </si>
  <si>
    <t>25 RUE DE LA GARENNE ER.15078</t>
  </si>
  <si>
    <t>REPRISE EMBELLISSEMENTS SUITE PANNE VMC</t>
  </si>
  <si>
    <t>34 RUE HAUTE VILLE SILLERY (MAISON VAGUE) ER.25625</t>
  </si>
  <si>
    <t>REMPLACEMENT SEDUM SUITE FORTES CHALEURS 2025</t>
  </si>
  <si>
    <t>12 JULES VERNE</t>
  </si>
  <si>
    <t>POSE CLOTURE EN AVANT DU PAVILLON Y COMPRIS PORTILLON ET DEPOSE VEGETAUX</t>
  </si>
  <si>
    <t>16 BORDA</t>
  </si>
  <si>
    <t>MISE EN PLACE CHAPEAUX DE MURETS MURS D'ENCEINTE SEPARATIF</t>
  </si>
  <si>
    <t>ANNULÉ PRISE EN CHARGE AGENCE AU VU DU PARTAGE BUDGET PROPRIETAIRE ET PN</t>
  </si>
  <si>
    <t>08 RUE DE LA BUFFE VERZENAY ER.14456</t>
  </si>
  <si>
    <t>CREATION VENTILATION ET REPRISE JOINT CHAUX GARAGE (ATTENTE FEU VERT JURIDIQUE)</t>
  </si>
  <si>
    <t>FOYER 16 RUE DU PONT ASSY ER.43018</t>
  </si>
  <si>
    <t>REMPLACEMENT CLOTURES</t>
  </si>
  <si>
    <t>JUVIGNY ESPACES VERTS</t>
  </si>
  <si>
    <t>ENTRETIEN BOIS EN PARCELLE LOCATIVE</t>
  </si>
  <si>
    <t>01 AU 07 NARCISSES BRUNETTE ER.B0030.001</t>
  </si>
  <si>
    <t>RALLONGE ET REPOSE  CLOTURES METALLIQUES EN ARRIERE IMMEUBLES</t>
  </si>
  <si>
    <t>51 PEROUSE ER.04425</t>
  </si>
  <si>
    <t>COMPLEMENT HAUTEUR MURET EN ARR JARDIN Y COMPRIS REPRISE DES ENDUITS</t>
  </si>
  <si>
    <t>12 RUE BOIS DES ZOUAVES SILLERY ER.90020</t>
  </si>
  <si>
    <t>CREATION VENTILLATION NATURELLE EN S/SOL SUITE HUMIDITE</t>
  </si>
  <si>
    <t>PRISE EN CHARGE AGENCE</t>
  </si>
  <si>
    <t>32 ST LEONARD ER.09827</t>
  </si>
  <si>
    <t>REMPLACEMENT PORTILLON METAL ACCES GARAGE</t>
  </si>
  <si>
    <t>19 RUE BIEBUYCK CHAUVET ER.02302</t>
  </si>
  <si>
    <t>74 BAZIN ER.16091</t>
  </si>
  <si>
    <t>REMPLACEMENT PORTE DE BOX</t>
  </si>
  <si>
    <t>RABATTAGE VEGETATIONS ENTRE PN ET COPRO</t>
  </si>
  <si>
    <t>16 PAUL DOUMER</t>
  </si>
  <si>
    <t>ABATTAGE EPICA JARDIN PROCHE PROPRIETAIRE</t>
  </si>
  <si>
    <t>9 PELTHIER</t>
  </si>
  <si>
    <t>REPRISE DU MUR D'ENCEINTE COTE DU BATIMENT ET DALLES SUR PLOTS SUR L'ENSEMBLE</t>
  </si>
  <si>
    <t>4 SIMON DAUPHINOT CORMONTREUIL</t>
  </si>
  <si>
    <t>REFECTION ENROBE RAMPE GARAGE COLLECTIF</t>
  </si>
  <si>
    <t>ENTRETIEN TOITURE VEGETALISEE 12 PASSAGES /AN</t>
  </si>
  <si>
    <t>11 AU 19 RUE DE VAUDEMANGE TREPAIL</t>
  </si>
  <si>
    <t>REMISE EN ETAT ESPACES VERTS SUITE REPRISE DE LA COUR COMMUNE</t>
  </si>
  <si>
    <t>REMISE EN ETAT DE LA COUR COMMUNE</t>
  </si>
  <si>
    <t>12 JULES HANSEN ER.02077</t>
  </si>
  <si>
    <t>MISE EN PLACE VMC DANS LOGEMENT</t>
  </si>
  <si>
    <t>6 RUE DE L'ENCLOS SILLERY</t>
  </si>
  <si>
    <t>INFILTRATIONS DEPOSE CHEMINEE ZINC ET REPRISE VENTILATION Y COMPRIS 2 BACS ZINC</t>
  </si>
  <si>
    <t>6 RUE DE LA VICTOIRE VAL DE VESLES ER.15655</t>
  </si>
  <si>
    <t>REMPLACEMENT FOURREAUX TELECOM POUR INSTALLATION FIBRE CLIENT</t>
  </si>
  <si>
    <t>34A ALLEE GEORGES BIZET</t>
  </si>
  <si>
    <t>REMPLACEMENT VMC DEFAILLANTE+ ENTREE D'AIR 30M3</t>
  </si>
  <si>
    <t xml:space="preserve">MAIL ALICIA LE 2205, </t>
  </si>
  <si>
    <t>COMMANDE OK</t>
  </si>
  <si>
    <t>8 MITTERRAND ER.17564</t>
  </si>
  <si>
    <t>REMPLACEMENT VELUX CHAMBRE Y COMPRIS STORE</t>
  </si>
  <si>
    <t>55 PEROUSE ER.07529</t>
  </si>
  <si>
    <t>MISE EN PLACE VMC LOGEMENT</t>
  </si>
  <si>
    <t>8 AUDIBERTI ER.30491</t>
  </si>
  <si>
    <t>REMPLACEMENT VMC VETUSTE</t>
  </si>
  <si>
    <t>CAELI</t>
  </si>
  <si>
    <t>RUE BORDA</t>
  </si>
  <si>
    <t>POSE ECLAIRAGE PUBLIQUE VERS RUE LA PEROUSE</t>
  </si>
  <si>
    <t>48 FEUILLET ER.25768</t>
  </si>
  <si>
    <t>REMPLACEMENT MODE DE CHAUFFAGE COUP PAR COUP</t>
  </si>
  <si>
    <t>REPRISES DES VR SOLAIRES AU CAS PAR CAS</t>
  </si>
  <si>
    <t>56 LANGUEDOC ER.11676</t>
  </si>
  <si>
    <t>POSE VR MOTORISE</t>
  </si>
  <si>
    <t>92J ET PAVILLONS BARBATRE</t>
  </si>
  <si>
    <t>REMPLACEMENT DES CONVECTEURS/CHALEURS DOUCES COUPS PAR COUPS</t>
  </si>
  <si>
    <t>92P RUE DU BARBATRE</t>
  </si>
  <si>
    <t>ETANCHEITE FACADE SUITE INFILTRATIONS</t>
  </si>
  <si>
    <t>PLUS DE SOUCI DEPUIS NOUVEAU CLIENT</t>
  </si>
  <si>
    <t>REMPLACEMENT DES PORTES ARR NON PRISE EN CHARGE PAR REHA</t>
  </si>
  <si>
    <t>REMISE EN PEINTURE NON PRIS EN APEP 7U</t>
  </si>
  <si>
    <t>62 AU 74 RUE BAZIN 7U BATTERIE DE GARAGE</t>
  </si>
  <si>
    <t>DEMOUSSAGE DES TOITURES ET REMPLACEMENT EP BATTERIE DE GARAGE</t>
  </si>
  <si>
    <t>19A RUE DU CANADA SILLERY</t>
  </si>
  <si>
    <t>REPRISE ITE ET RAVALEMENT FACADE COTE RUE</t>
  </si>
  <si>
    <t>ILOTS B/C 2 COOK/6 ET 8 COLOMB</t>
  </si>
  <si>
    <t>GARAGE MAGELLAN</t>
  </si>
  <si>
    <t>DEMOUSSAGE DES TOITURES Y COMPRIS GOUTTIERES ET DESCENTES EP</t>
  </si>
  <si>
    <t>ERREUR TRANCHE</t>
  </si>
  <si>
    <t>5 RUELLE JEAN LEFEVRE</t>
  </si>
  <si>
    <t>REJOINTEMENT DES PIERRES DE PAYS EN FACADE ARRIERE ET RAVALEMENT AVANT</t>
  </si>
  <si>
    <t>GONCALVES MARIO - GL CONSTRUC</t>
  </si>
  <si>
    <t>5 ET 7 RUE MAURICE PELTHIER</t>
  </si>
  <si>
    <t>RAVALEMENT DES FACADES  2/3 DPE C KWHEP/M²/AN 81</t>
  </si>
  <si>
    <t>SOCHAMP</t>
  </si>
  <si>
    <t>SOCHAMP NICOLETTA SAPE</t>
  </si>
  <si>
    <t>REMPLACEMENT PORTE PAVILLON</t>
  </si>
  <si>
    <t>PRIS PAR POLE APEP</t>
  </si>
  <si>
    <t>10 À 12 BEAUVOIR</t>
  </si>
  <si>
    <t>FISMETTE - FISMES</t>
  </si>
  <si>
    <t>RÉFECTION TOITURES</t>
  </si>
  <si>
    <t>DEVIS BUCZEK</t>
  </si>
  <si>
    <t>REPRISE DES 15 CERCLES BETONS DES ESPACES VERTS</t>
  </si>
  <si>
    <t>REPRISE DES  15 CERCLES BÉTONS DES PLOTS LUMINEUX</t>
  </si>
  <si>
    <t>10 REMIA</t>
  </si>
  <si>
    <t>REMPLACEMENT DOUCHE</t>
  </si>
  <si>
    <t>REPRISE MURS EXTÉRIEURS (ETANCH PIED DE MUR + PEINTURE)(ADF)</t>
  </si>
  <si>
    <t>AFUL COLBERT</t>
  </si>
  <si>
    <t>26/01: ADF DU 01/01/26</t>
  </si>
  <si>
    <t>REIMS - LES LUMINELLES (POMMERY 67 - VERRIER 2) (24COLL)</t>
  </si>
  <si>
    <t>POMPE DE RELEVAGE + BORNES PKG (ADF)</t>
  </si>
  <si>
    <t>SACCLO SDC S0084 LES LUMINELLE</t>
  </si>
  <si>
    <t>15/09: ADF 08/09 (FOLIO 2270915 + FOLIO 2270913)</t>
  </si>
  <si>
    <t>26/01: ADF 17/12/25 POUR 01/01/2026</t>
  </si>
  <si>
    <t>RUE GEORGES BAUSSONNET (ANCIEN)</t>
  </si>
  <si>
    <t>REMPLACEMENT / CONTRÔLE RADIATEURS ET TÊTES THERMOSTATIQUES (POINT AVEC LA THERMIQUE)</t>
  </si>
  <si>
    <t>1-2/4 PIERRE MAÎTRE - CHÂLONS EN CHAMPAGNE</t>
  </si>
  <si>
    <t>REMISE EN PEINTURE GARDE CORPS</t>
  </si>
  <si>
    <t>REMISE EN PEINTURE PORTES EXT HALL</t>
  </si>
  <si>
    <t>3 COURS WAWRZYN</t>
  </si>
  <si>
    <t>REFCTION DU MURET</t>
  </si>
  <si>
    <t>GARAGE 18 PALACH</t>
  </si>
  <si>
    <t>REMPLACEMENT DE TUYAU GALVA</t>
  </si>
  <si>
    <t>92 FARMAN</t>
  </si>
  <si>
    <t>REMPLACEMENT DE PORTE D'ENTRÉE</t>
  </si>
  <si>
    <t>NAUDIN</t>
  </si>
  <si>
    <t>VMC BRANCOURT</t>
  </si>
  <si>
    <t>VMC TADJOURI</t>
  </si>
  <si>
    <t>BRANCHEMENT 10A BRANCOURT</t>
  </si>
  <si>
    <t>BRANCHEMENT 10A TADJOURI</t>
  </si>
  <si>
    <t>PARC DE FRENOIS 1</t>
  </si>
  <si>
    <t>7 PARAISONS ST BRICE COURCELLES</t>
  </si>
  <si>
    <t>PORTE D'ENTRÉE 1 VANTAIL : LARG 950 MM X HAUT 2405 MM</t>
  </si>
  <si>
    <t>TRAVAUX REPRISE TOITURE TERRASSE</t>
  </si>
  <si>
    <t>REIMS - RUE DE BOUZY 5 (ER.E1311.001.005)</t>
  </si>
  <si>
    <t>REPRISE CARRLEAGE</t>
  </si>
  <si>
    <t>REPRISE CARRELAGE</t>
  </si>
  <si>
    <t>REMISE EN PEINTURE DE LA CAGE ESCALIER + PORTE DU SAS</t>
  </si>
  <si>
    <t>COMPRIS DANS PGC</t>
  </si>
  <si>
    <t>REIMS - RUE HUET - GARAGES (ER.B0133.G04)</t>
  </si>
  <si>
    <t>REORGANISATION STATIONNEMENT : PRIVATION ACCÈS + SIGNALISATION VT/HZ</t>
  </si>
  <si>
    <t>INDIVIDUELS RUE CROIX CORDIER</t>
  </si>
  <si>
    <t>ABATTAGE ARBRES</t>
  </si>
  <si>
    <t>A2P</t>
  </si>
  <si>
    <t>36B BIZET ER.26561</t>
  </si>
  <si>
    <t>REMPLACEMENT CARRELAGE LOGEMENT PAR SOL PVC</t>
  </si>
  <si>
    <t>PLACE DE L'EUROPE SILLERY</t>
  </si>
  <si>
    <t>REMANIEMENT DALLES SUR LIT DE SABLE SUR L'ENSEMBLE DES CHEMINEMENTS (MAIRIE)</t>
  </si>
  <si>
    <t>REMPLACER PORTE PAVILLON ET PORTE DE GARAGE ET REPRISE SEUIL</t>
  </si>
  <si>
    <t>7 ALLEE DE LA CROIX D'OR ER.00837</t>
  </si>
  <si>
    <t>REMPLACEMENT CLOTURES ET DEPOSE CABANON VETUSTE ET DANGEREUX</t>
  </si>
  <si>
    <t>AMS</t>
  </si>
  <si>
    <t>8 RUE JULES HANSEN  ER.02075</t>
  </si>
  <si>
    <t>REMPLACEMENT RESEAU EU DANS JARDIN VERS RUE</t>
  </si>
  <si>
    <t>ALFA PLOMBERIE</t>
  </si>
  <si>
    <t>17 ROUTE DE MAILLY SILLERY ER.90052</t>
  </si>
  <si>
    <t>AMENAGEMENT SALLE DE BAIN</t>
  </si>
  <si>
    <t>REMPLACEMENT PLANCHER BOIS BALCONS</t>
  </si>
  <si>
    <t>COPRO 65 AU 81 LOUVOIS APPEL DE FOND</t>
  </si>
  <si>
    <t>RESIDE POSE DE CLOTURE</t>
  </si>
  <si>
    <t>88 COOK</t>
  </si>
  <si>
    <t>REPRISE POTEAUX ET PIGNON BATTERIE DE GARAGE</t>
  </si>
  <si>
    <t>1 ET 3 RUE CHANZY VERZY</t>
  </si>
  <si>
    <t>REMPLACEMENT DES DALLES SUR PLOTS</t>
  </si>
  <si>
    <t>2 CURIE CORMONTREUIL  ER.B1367.G01</t>
  </si>
  <si>
    <t>CURAGE CANALISATIONS EP EN GARAGE SOUTERRAIN+HYDROCARBURE</t>
  </si>
  <si>
    <t>REMPLACEMENT PORTE PAVILLON ET PORTE GARAGE Y COMPRIS</t>
  </si>
  <si>
    <t>3 RUE VICTOR HUGO LUDES  VARIN ER.32881</t>
  </si>
  <si>
    <t>REMPLACEMENT COMPLEXE D'ETANCHEITE TERRASSE</t>
  </si>
  <si>
    <t>REVOIR CONSTRUCTION DECENALE</t>
  </si>
  <si>
    <t>33 RUE DE TAISSY RCA ER.15543</t>
  </si>
  <si>
    <t>REMANIEMENT DALLES TERRASSE Y COMPRIS VEGETATION</t>
  </si>
  <si>
    <t>MAIL SDO LE 1805 TEH NE PARVIENT PAS A AVOIR LE CLIENT</t>
  </si>
  <si>
    <t>14 RUE JULES FERRY MAILLY ER.18268</t>
  </si>
  <si>
    <t>REPRISE INTEGRALE DE LA TERRASSE CARRELEE</t>
  </si>
  <si>
    <t>16  RUE BORDA ER.04416</t>
  </si>
  <si>
    <t>REMISE EN ETAT SALLE DE BAIN APPAREILLAGES ET EMBELLISSEMENTS VETUSTE+VMC</t>
  </si>
  <si>
    <t>16/18 COUREAUX LES SILENES ER.43065 FOYER MAXIME OYANCE</t>
  </si>
  <si>
    <t>REPRISE FISSURES ET ETANCHEITE DES SOLS COURSIVES</t>
  </si>
  <si>
    <t>EN ATTENTE MAXIME OYANCE PREVISION 2027 GROS BUDGET</t>
  </si>
  <si>
    <t>REFECTION DE LA DALLE TERRASSE Y COMPRIS ETANCHEITE EN PIED DE FACADE FUITE S/SOL</t>
  </si>
  <si>
    <t>RUE LA PEROUSE (ER.06864 A PRIORISER) 7U</t>
  </si>
  <si>
    <t>REMPLACEMENT PORTES DE SERVICE ACCES JARDIN BOIS/PVF ISOLANTE</t>
  </si>
  <si>
    <t>COLONEL LE BOULANGER</t>
  </si>
  <si>
    <t>REMPLACEMENT DES CHASSIS EN S/SOL NON PRIS APEP</t>
  </si>
  <si>
    <t>DEMATHIEU BARD CONSTRUCTION</t>
  </si>
  <si>
    <t>19 RUE DE VAUDEMANGE TREPAIL ER.14834</t>
  </si>
  <si>
    <t>REMPLACEMENT DE LA PORTE PAVILLON</t>
  </si>
  <si>
    <t>DU 19 AU 35 CHANOINE LALLEMENT</t>
  </si>
  <si>
    <t>REVISION DE TOUTES LES CHEMINEES TOITURES PURGES DES BETONS REPARATIONS</t>
  </si>
  <si>
    <t>REFECTION VOIRIE ET ACCES GARAGE PAVILLON</t>
  </si>
  <si>
    <t>60 BAZIN</t>
  </si>
  <si>
    <t>REMPLACEMENT COLONNES EU B/C/D/E NON PRIS REHA  1/4</t>
  </si>
  <si>
    <t>DEVIS EN COURS EURO PLOMBERIE REIMS CHAUFFAGE</t>
  </si>
  <si>
    <t>36 RUE DE LA HAUTE VILLE</t>
  </si>
  <si>
    <t>REPRISE COMPLEXE ETANCHEITE TOITURE ET GARAGE</t>
  </si>
  <si>
    <t>REMPLACEMENT TOITURES NON PRIS POLE APEP</t>
  </si>
  <si>
    <t>ILOT MOUGNE HODIN URVILLE</t>
  </si>
  <si>
    <t>REMPLACEMENT CARRELAGE HALLS NON PRIS REHA</t>
  </si>
  <si>
    <t>PEC REHA</t>
  </si>
  <si>
    <t>8 AU 36 PHENICIENS 15 U</t>
  </si>
  <si>
    <t>REMPLACEMENT FENETRES ET POSE VR ELECTRIQUES SELON BPU (40K€ BUDGET CAMILLE)</t>
  </si>
  <si>
    <t>EFIBAT</t>
  </si>
  <si>
    <t>SUITE RÉSIDENTIALISATION  EV</t>
  </si>
  <si>
    <t>LEGROS/ VIGNAU/ DUNANT</t>
  </si>
  <si>
    <t>DÉPOSE THUYAS ET REMPLACEMENT GRILLAGES</t>
  </si>
  <si>
    <t>ARRACHAGE DE HAIE ET REPOSE GRILLAGE</t>
  </si>
  <si>
    <t>ALLÉE PIERRE GRANDREMY</t>
  </si>
  <si>
    <t>REFECTION DE L'ENROBÉ</t>
  </si>
  <si>
    <t>TURENNE/ VAUBAN</t>
  </si>
  <si>
    <t>RÉFECTION DES ALLÉES ET ESPACES EXTÉRIEURS+CRÉATION MASSIF DE PLANTES SUR ENROBÉ DANGEREUX</t>
  </si>
  <si>
    <t>9 RUE DES ÉCOLES (ER.B0342.001)</t>
  </si>
  <si>
    <t>CRÉATION SÉPARATIF SUR TERRASSE COMMUNE</t>
  </si>
  <si>
    <t>ABATTAGE/ ELAGAGE/ ARRACHAGE DE HAIES ET REMPLACEMENT DE CLOTURES PAR GRILLAGE 3D</t>
  </si>
  <si>
    <t>6/8 RUE MARCEL MIGEO/(ER.18286)/(ER.18287)</t>
  </si>
  <si>
    <t>REMPLACEMENT DE GRILLAGE PAR 3D + RETRAIT DES BAMBOUS</t>
  </si>
  <si>
    <t>MDEGERMAY</t>
  </si>
  <si>
    <t>49 RUE GABRIEL LIPPMANN (ER.B1960.G01)</t>
  </si>
  <si>
    <t>MISE EN PLACE PORTILLON POUR ENTRETIEN ESPACES VERTS</t>
  </si>
  <si>
    <t>TOLERIE INDUSTRIELLE REMOISE</t>
  </si>
  <si>
    <t>04/05/26 RDV AVEC SOCIETE TIR DEMAIN</t>
  </si>
  <si>
    <t>RUE ANDRÉ CHENIER</t>
  </si>
  <si>
    <t>REFECTION DES MURETS</t>
  </si>
  <si>
    <t>ALLÉE DES VAUTES</t>
  </si>
  <si>
    <t>ARBRES À RETIRER + ÉLAGAGE</t>
  </si>
  <si>
    <t>ALLÉE DES ALLEUX</t>
  </si>
  <si>
    <t>POSE DE CLOTURE SÉPARATIVE 3 D + ARBRES À RETIRER</t>
  </si>
  <si>
    <t>ALLÉE DU MONT TREMPÉ</t>
  </si>
  <si>
    <t>REMISE EN ÉTAT DU JARDIN SUITE ITE</t>
  </si>
  <si>
    <t>13/05/2026 RDV CHEZ LA CLIENTE</t>
  </si>
  <si>
    <t>16 RUE DES OUETTES</t>
  </si>
  <si>
    <t>PETITES VIGNES</t>
  </si>
  <si>
    <t>CLOTURES 3D ET PORTILLONS</t>
  </si>
  <si>
    <t>REPORTAGE PHOTOS LE 18/03/2026</t>
  </si>
  <si>
    <t>AT HOME</t>
  </si>
  <si>
    <t>APPEL DE FONDS POUR SPÉCIAL POUR TRAVAUX</t>
  </si>
  <si>
    <t>12/14 RUE JEAN-MARIE LE SIDANER (ER.T0584)</t>
  </si>
  <si>
    <t>RAVALEMENT DE FAÇADES PAR DRONE (1/2)</t>
  </si>
  <si>
    <t>REMPLACEMENT GRILLAGE SOUPLE PAR 3D ET PORTILLON</t>
  </si>
  <si>
    <t>RUE LEON BLUM (17 PAVILLONS) - FISMES</t>
  </si>
  <si>
    <t>32 RUE PAUL ADAM</t>
  </si>
  <si>
    <t>REMPLACEMENTS PORTE GARGE ET ISOLATION</t>
  </si>
  <si>
    <t>3 CHANZY ER.19093</t>
  </si>
  <si>
    <t>REMPLACEMENT VELUX FUYARD Y COMPRIS VR ELEC</t>
  </si>
  <si>
    <t>PASSE EN 2025</t>
  </si>
  <si>
    <t>INSTALLATION GRILLE ANTI CHUTE</t>
  </si>
  <si>
    <t>15 RUE HENRI HENRION - AY CHAMPAGNE</t>
  </si>
  <si>
    <t>MISE EN SÉCURITÉ - ÉTAIEMENT</t>
  </si>
  <si>
    <t>REPRISE DES DEGATS SUITE CARRELAGE</t>
  </si>
  <si>
    <t>PARKING 41 THIL</t>
  </si>
  <si>
    <t>BOITIER HEXACT</t>
  </si>
  <si>
    <t>SEEI</t>
  </si>
  <si>
    <t>54 BOULARD</t>
  </si>
  <si>
    <t>18 BD. DU DOCTEUR ROUX ER.15970</t>
  </si>
  <si>
    <t>TERRASSEMENT ET REMPL CANALLISATION EU</t>
  </si>
  <si>
    <t>8 URVILLE RCB ER.05106</t>
  </si>
  <si>
    <t>REPRISE VR SEJOUR ET SDB</t>
  </si>
  <si>
    <t>LOTISSEMENT DE FRESNOIS</t>
  </si>
  <si>
    <t>MISE EN OEUVRE DE CLOTURE RIGIDE</t>
  </si>
  <si>
    <t>7 ALLÉE LÉO DELIBES - EPERNAY  (ER.E1614.006.006)</t>
  </si>
  <si>
    <t>REMISE EN PEINTURE CAGE ESCALIER COLIMACON</t>
  </si>
  <si>
    <t>CLUB DEVIS EN  COURS</t>
  </si>
  <si>
    <t>147 CHAMP PAVEAU</t>
  </si>
  <si>
    <t>REMPLACEMENT PORTE COMMUNE ACCES AU REZ DE CHAUSSEE</t>
  </si>
  <si>
    <t>CHARLIER HERVE</t>
  </si>
  <si>
    <t>2 RUE DES COTEAUX- 25 À 35 AVENUE DE MIDDELKERKE - EPERNAY (ER.T1609)</t>
  </si>
  <si>
    <t>1,7,9,11,13,19,21,23 RUE ALFRED VIGNAU (ER.07194/ER.07197/ER.07198/ER.07199/ER.07200/ER.07203/ER.072</t>
  </si>
  <si>
    <t>ENTRETIEN/REFECTION DES TOITURES</t>
  </si>
  <si>
    <t>DEVIS DEMANDE A BUCZEK LE 22/01/25</t>
  </si>
  <si>
    <t>DÉPOSE BARDAGE BOIS PAR REMPLACEMENT LAMBRIS PVC</t>
  </si>
  <si>
    <t>1 SCHLEISS (ER.E0121.001.001)</t>
  </si>
  <si>
    <t>RÉFÉCTION HALL ET PARTIES COMMUNES</t>
  </si>
  <si>
    <t>POLYGONES</t>
  </si>
  <si>
    <t>CHENIER (ER.B0253.002)</t>
  </si>
  <si>
    <t>ENTRETIEN TOITURE TERRASSE</t>
  </si>
  <si>
    <t>PAVILLONS GIRAUDOUX / TURENNE / GIDE</t>
  </si>
  <si>
    <t>PASSAGE FIBRE</t>
  </si>
  <si>
    <t>14/09/26// PAS DE NECESSITE CETTE ANNEE</t>
  </si>
  <si>
    <t>ENTRETIEN TOITURES ET DESCENTES D'EAUX</t>
  </si>
  <si>
    <t>3 RUE FRANÇOIS VILLON (ER.B0179.001 (TOITURE) 10 RUE EDMONTD MICHELET (ER.B0179.004)(GOUTTIÈRES)</t>
  </si>
  <si>
    <t>REPRISE COUVERTURE + GOUTTIÈRES</t>
  </si>
  <si>
    <t>DEMOUSSAGE TOITURES</t>
  </si>
  <si>
    <t>07/05/2026 DEVIS DEMANDES A ENTREPRISE MARCHAND</t>
  </si>
  <si>
    <t>INDIVIDUELS MURIGNY RUE LÉON TOLSTOI ET ESPANADE MARCEL PAUL/ RUE RICHELIEU / RUE PAUL EMILE RENARD</t>
  </si>
  <si>
    <t>05/05/2026 DEMANDE DE DEVIS A ARTI</t>
  </si>
  <si>
    <t>92 RUE MAZARIN (ER.16748)</t>
  </si>
  <si>
    <t>RÉFECTION TOITURE</t>
  </si>
  <si>
    <t>26/12/25 DEVIS DEMANDE A AVG POUR REPRISE PARTIELLE DE LA PARTIE TOITURE FUYARDE</t>
  </si>
  <si>
    <t>14 A ALLÉE DES LANDAIS (ER.E1408.001.001)</t>
  </si>
  <si>
    <t>RÉFECTION BARDAGE BOIS + ÉTANCHÉITÉ</t>
  </si>
  <si>
    <t>36 (ER.B0253.002) 35 (ER.E0253.003.035) 39 (ER.E0253.003.039) RUE ANDRÉ CHENIER + DIVERS</t>
  </si>
  <si>
    <t>REFECTIONS DES HALLS</t>
  </si>
  <si>
    <t>CURAGE ET NETTOYAGE DES EVACUATIONS HORIZONTALES DES EP</t>
  </si>
  <si>
    <t>8 ET 10 RUE MICHEL HAMAIDE</t>
  </si>
  <si>
    <t>REFECTION TOTALE DE LA CAGE D'ESCALIER</t>
  </si>
  <si>
    <t>1 RUE JEAN LOUIS DEBAR (ER.E0365.001.01)</t>
  </si>
  <si>
    <t>ALLEE ALBERT GOBAT / BEZANNES</t>
  </si>
  <si>
    <t>ENTRETIEN TOITURE VEGETALISÉE 8 PAVILLONS</t>
  </si>
  <si>
    <t>26/12/25 DEVIS DEMANDE A AVG POUR NETTOYAGE TOITURE TERRASSE VEGETALISEE ET GOUTTIERES DES BACS ACIER POUR LE PAVILLON NUMERO 7</t>
  </si>
  <si>
    <t>ENTRETIEN TOITURES</t>
  </si>
  <si>
    <t>1 RUE FRANÇOIS LEGROS (ER.07220)</t>
  </si>
  <si>
    <t>REPRISE ÉTANCHÉITÉ SUITE PONT THERMIQUE</t>
  </si>
  <si>
    <t>1/3 ET 5 DUTERQUE</t>
  </si>
  <si>
    <t>PLANTATIONS HAIES + GRILLAGES 3D</t>
  </si>
  <si>
    <t>18 RUE BERTHE MORISOT</t>
  </si>
  <si>
    <t>REPRISE DES COUVERTINES DES FENETRES</t>
  </si>
  <si>
    <t>19 RUE PAUL SCHLEISS</t>
  </si>
  <si>
    <t>POSE GRILLAGE 3D ET PORTILLON</t>
  </si>
  <si>
    <t>1 (ER.09803) 3 (ER.09804) RUE GILBERTE ET JEAN DROIT + DIVERS RESTANT</t>
  </si>
  <si>
    <t>CRÉATION VMC</t>
  </si>
  <si>
    <t>60 AU 90 MAZARIN</t>
  </si>
  <si>
    <t>REFECTION DES CARRELAGES SUR LES BALCONS</t>
  </si>
  <si>
    <t>DEVIS DEMANDE A TEH POUR LE 80 MAZARIN</t>
  </si>
  <si>
    <t>12 TURENNE (ER.E0141.003.012)</t>
  </si>
  <si>
    <t>REMPLACEMENT VMC COLLECTIVE/ TRAINASSE + RACCORDEMENT AUX LOCAUX VO</t>
  </si>
  <si>
    <t>REMPLACEMENT DE L'INTERPHONIE</t>
  </si>
  <si>
    <t>REMPLACEMENT AU COUP PAR COUP DES VOLETS SOLAIRES HS</t>
  </si>
  <si>
    <t>REPRISE DE LA RÉSINE DEFECTUEUSE DES BALCONS</t>
  </si>
  <si>
    <t>REMPLACEMENT GRILLAGES 3D + ARRACHAGE HAIES</t>
  </si>
  <si>
    <t>24 ESPLANADE MARCEL PAUL (ER.15105)</t>
  </si>
  <si>
    <t>PROTOTYPE FENETRES (CHAMBRE ENFANT TRIANGLE)</t>
  </si>
  <si>
    <t>RDV AVEC SRK LE 18/09/2026</t>
  </si>
  <si>
    <t>REMPLACEMENT DES PORTES DE GARAGES + PP</t>
  </si>
  <si>
    <t>COUPE THUYAS ET POSE GRILLAGE 3D ET PORTILLONS</t>
  </si>
  <si>
    <t>20 RUE MARCEL MIGEO</t>
  </si>
  <si>
    <t>ISOLATION INTERIEURE DES CHAMBRES EN SOUS SOL</t>
  </si>
  <si>
    <t>AVG +</t>
  </si>
  <si>
    <t>DEMANDE DE DEVIS A ARTI/ ATTENTE RETOUR</t>
  </si>
  <si>
    <t>REPRISES ÉTANCHÉITES DES PONT THERMIQUES</t>
  </si>
  <si>
    <t>60 AU  90 MAZARIN</t>
  </si>
  <si>
    <t>REMPLACEMENT DES PORTES PALIÈRES</t>
  </si>
  <si>
    <t>28/05/26 EN ATTENTE RETOUR NAM</t>
  </si>
  <si>
    <t>FEUILLET</t>
  </si>
  <si>
    <t>234 PEROUSE</t>
  </si>
  <si>
    <t>REPRISE ETANCHEITE PIED DE MUR COMMUNS</t>
  </si>
  <si>
    <t>287 RUE DU VIEUX CHÂTEAU - DIZY</t>
  </si>
  <si>
    <t>CREATION POINT D'EAU</t>
  </si>
  <si>
    <t>REMPLACEMENT CONVECTEURS</t>
  </si>
  <si>
    <t>14 AFN TINQUEUX</t>
  </si>
  <si>
    <t>REPRISE CHARPENTE GARAGE</t>
  </si>
  <si>
    <t>6 RUE DE CHAMPROT - EPERNAY</t>
  </si>
  <si>
    <t>REPRISES PONCTUELLES PLANCHER</t>
  </si>
  <si>
    <t>15 RUE DES COTEAUX - EPERNAY (ER.E1606.008.014)</t>
  </si>
  <si>
    <t>REPRISE EN CIMENT DES MARCHES ACCÈS PARVIS DERRIÈRE L'ÉGLISE</t>
  </si>
  <si>
    <t>REMISE EN PEINTURE LOCAL VELO</t>
  </si>
  <si>
    <t>EN FIN D ANNÉE</t>
  </si>
  <si>
    <t>REMPLACEMENT DES VANNES DE COUPURES EF ET EC LOGEMENTS BATIMENTS  A B ET C</t>
  </si>
  <si>
    <t>PDP SIGNÉ</t>
  </si>
  <si>
    <t>ANNULE PAS NECESSAIRE</t>
  </si>
  <si>
    <t>JEAN LOUIS DEBAR (ER.B0365.001)</t>
  </si>
  <si>
    <t>TOITURE 3 GARAGES</t>
  </si>
  <si>
    <t>REPRISE SUITE RÉHA</t>
  </si>
  <si>
    <t>REIMS - PARC JACQUART (ER.T0011)</t>
  </si>
  <si>
    <t>01/04: TVX EC (VU LAC/ASA)</t>
  </si>
  <si>
    <t>18/02:ENT.TEL LAC/ETS : CONFIRMATION INTERV 04/2026 (APRÈS PERIODE ELAGAGE)</t>
  </si>
  <si>
    <t>63/65 RUE MALDAN</t>
  </si>
  <si>
    <t>CHEMINEMENT POUR ACCÈS POUBELLES</t>
  </si>
  <si>
    <t>44-46 RUE GOSSET (ER.B0021.003)</t>
  </si>
  <si>
    <t>REPRISE MURETS EXTÉRIEURS</t>
  </si>
  <si>
    <t>ANNULEE</t>
  </si>
  <si>
    <t>79/81 BEL AIR</t>
  </si>
  <si>
    <t>SUPPRESSION MUR BÉTON DANGEREUX.</t>
  </si>
  <si>
    <t>QUARTIER NEUFCHATEL</t>
  </si>
  <si>
    <t>REMPLACEMENT DE TRONÇON EU AMIANTÉ (2/5)</t>
  </si>
  <si>
    <t>GRILLE ENTRE PRISON ET BATTESTI</t>
  </si>
  <si>
    <t>7 IND ALLÉE DE COULMY, BETHENY (ER.T0301) 20 COULMY</t>
  </si>
  <si>
    <t>REMPLACEMENT CLÔTURES AVANT + PORTILLONS PHASE 2</t>
  </si>
  <si>
    <t>20 RUE JAN PALACH (ER.E0352.001.020)</t>
  </si>
  <si>
    <t>SUPPRESSION DU CARRELAGE GLISSANT DEVANT LE 20 PALACH</t>
  </si>
  <si>
    <t>EIFFAGE CONSTRUCTION</t>
  </si>
  <si>
    <t>93 RUE DE LA MALADRERIE</t>
  </si>
  <si>
    <t>CRÉATION D'UN PUISARD DANS LA DESCENTE VÉHICULE DU PAVILLON</t>
  </si>
  <si>
    <t>12 RUE WACHTER A BETHENY (ER.17096)</t>
  </si>
  <si>
    <t>GRILLE 3D EN FAÇADE ARRIERE AVEC FONDATION BÉTON</t>
  </si>
  <si>
    <t>64 IND RUE ROBERT ADRIAN (ER.T0632)</t>
  </si>
  <si>
    <t>ISOLATION DE 4 GARAGES PAR BAC ACIER DOUBLE PEAU ( 46 - 48 - 54 -56)</t>
  </si>
  <si>
    <t>16 RUE DE METZ</t>
  </si>
  <si>
    <t>REPRISE MURS MITOYENS EN PARTIE BASSE AU NIVEAU DE LA COUR</t>
  </si>
  <si>
    <t>A FAIRE</t>
  </si>
  <si>
    <t>20 À 34 RUE JEAN-MARIE LE SIDANER</t>
  </si>
  <si>
    <t>REMPLACEMENT GRILLAGE SIMPLE CASSÉ PAR GRILLAGE 3D À L'ARRIÈRE DES MAISONS</t>
  </si>
  <si>
    <t>24 RUE YOURI GAGARINE</t>
  </si>
  <si>
    <t>POSE CLÔTURE PANNEAUX RIGIDES 1M93</t>
  </si>
  <si>
    <t>REMPLACEMENT GRAVILLONS DANS ALLÉES PAR BITUME + METTRE PUISARD DANS ALLÉE</t>
  </si>
  <si>
    <t>26 ET 32 RUE TERRES SAINT REMY</t>
  </si>
  <si>
    <t>REMPLACEMENT CARRELAGE</t>
  </si>
  <si>
    <t>DG CARRELAGE</t>
  </si>
  <si>
    <t>RÉFECTION ETANCHEITÉ + TERRASSE</t>
  </si>
  <si>
    <t>11/02:ENT.TEL ETS/LAC RECALAGE PLANNING POUR AVANCER DATES INTERV</t>
  </si>
  <si>
    <t>REIMS - BD DE LA PAIX (N°36) - PARKING AUGUSTINS (ER.B1454.G02)</t>
  </si>
  <si>
    <t>CURAGE RESEAU EP</t>
  </si>
  <si>
    <t>30/01 : DDE DEVIS DEBOUCH (OS5026203)</t>
  </si>
  <si>
    <t>BAZANCOURT - RUE JEAN JAURES</t>
  </si>
  <si>
    <t>REPRISE CABANON JARDIN (1/4)</t>
  </si>
  <si>
    <t>17/02:EMAIL LAC/ETS : DDE CONFIRMATION MTT + DELAI</t>
  </si>
  <si>
    <t>14 RUE LECOINTRE</t>
  </si>
  <si>
    <t>PONT THERMIQUE ISOLATION MUR CHAMBRE</t>
  </si>
  <si>
    <t>3 RUE DES TISSEURS</t>
  </si>
  <si>
    <t>REFECTION TOITURE</t>
  </si>
  <si>
    <t>4 RUE DES TISSEURS</t>
  </si>
  <si>
    <t>REMPLACEMENT SOL DES PALIERS UNIQUEMENT + PEINTURES ÉTAGES (1/2) + PORTES PALIÈRES</t>
  </si>
  <si>
    <t>PDP ENVOYÉ LE 14/02/2026</t>
  </si>
  <si>
    <t>28 B C ET F BOULEVARD JOFFRE (ER.T0372)</t>
  </si>
  <si>
    <t>SUPPRESSION FRISSETTE ET MOQUETTE</t>
  </si>
  <si>
    <t xml:space="preserve">A FAIRE PASSER EN AGE </t>
  </si>
  <si>
    <t>A FAIRE PASSEREN AGE</t>
  </si>
  <si>
    <t>14 ET 16 RUE MARYSE BASTIÉ (ER.B0076.001)</t>
  </si>
  <si>
    <t>RÉFECTIONS DES PALIERS (MURS/PLAFONDS)</t>
  </si>
  <si>
    <t>PDP ENVOYÉ LE 14/1/26</t>
  </si>
  <si>
    <t>3 ET 5 PALACH (ER.T0273)</t>
  </si>
  <si>
    <t>CHANGEMENT DES VELUX (10 ENVIRON)</t>
  </si>
  <si>
    <t>1 / 3 DRAPIERS + 47 PEIGNAGE</t>
  </si>
  <si>
    <t>TRAVAUX D'ÉTANCHÉITÉ + TRAVAUX COUVERTURE</t>
  </si>
  <si>
    <t>REIMS - BD VASNIER - 29</t>
  </si>
  <si>
    <t>REPRISE ETANCHEITÉ TERRASSE (INFILTRATION ACTIVE)</t>
  </si>
  <si>
    <t>BEINE NAUROY - RUE G.LUNDY</t>
  </si>
  <si>
    <t>ENTRETIEN COUVERTURE - REPARATION INFILTRATION</t>
  </si>
  <si>
    <t>30/03 : EMAIL LAC/ETS DDE CONFIRMATION DATE DEMARRAGE TVX</t>
  </si>
  <si>
    <t>1/3/5/7/11 COUBERTIN 1/3 POINCARE</t>
  </si>
  <si>
    <t>CAMPAGNE DE STÉRILISATION DE PIGEON</t>
  </si>
  <si>
    <t>SARL FAUCONNERIE TEAM</t>
  </si>
  <si>
    <t>12/14 AV DE LAON (ER.B0520.001)</t>
  </si>
  <si>
    <t>REMISE EN PEINTURE DE BALCON AVANT ET ARRIÈRE</t>
  </si>
  <si>
    <t>10 ET 12 RUE ROBERT ADRIAN</t>
  </si>
  <si>
    <t>REPRISE DÉSORDRES FAÇADES AVANT ET ARRIÈRE DU PAVILLON (FISSURES INFILTRANTES)</t>
  </si>
  <si>
    <t>BET CLAIR'EQUEAUX</t>
  </si>
  <si>
    <t>ENTREPRIS DE SERVICE</t>
  </si>
  <si>
    <t>BRIQUETTES DE PAREMENT DÉCOLLÉES</t>
  </si>
  <si>
    <t>4 RUE DES CARDEURS</t>
  </si>
  <si>
    <t>PDP ENVOYE LE 19/1/26</t>
  </si>
  <si>
    <t>6 RUE DES CARDEURS</t>
  </si>
  <si>
    <t>20 AU 30 DEMOLIN</t>
  </si>
  <si>
    <t>NETTOYAGE DES GOUTTIÈRES</t>
  </si>
  <si>
    <t>LES ARTISANS CORDISTES</t>
  </si>
  <si>
    <t>À REPORTER</t>
  </si>
  <si>
    <t>AMÉNAGEMENT EXTÉRIEUR DU HALL</t>
  </si>
  <si>
    <t>NETTOYAGE ET CONDAMNATION DES CAVES</t>
  </si>
  <si>
    <t>ANNULÉ MAIS PROJET À PRÉSENTER POUR 2027</t>
  </si>
  <si>
    <t>RUE DE LIERS, SMSO</t>
  </si>
  <si>
    <t>RÉFECTION DES MARCHES D'ESCALIERS DEVANT LES HALLS</t>
  </si>
  <si>
    <t>2/7 EN 2026 -&gt; PROGRAMMATION SI BESOIN</t>
  </si>
  <si>
    <t>REIMS - RUE ERNEST MILLET 2/4 - ER.B2058.001</t>
  </si>
  <si>
    <t>REPRISE ETANCHEITÉ (NETTOYAGE TOIT.TERR INACC)</t>
  </si>
  <si>
    <t>26/01:DELAI SELON ENT.TEL LAC/ENTS</t>
  </si>
  <si>
    <t>VARIANTE EXIGEE GARDE-CORPS</t>
  </si>
  <si>
    <t>REFECTION RESEAU EU (1/5)</t>
  </si>
  <si>
    <t>3 ALLEE DU 19 MARS 1962 - EPERNAY (ER.E0888.003.003)</t>
  </si>
  <si>
    <t>CREATION D'UN REGARD SUR CHEMINEMENT PIETON</t>
  </si>
  <si>
    <t>N°7 ET N°12 - ALLÉE DES TROENES - DORMANS (ER.T0895)</t>
  </si>
  <si>
    <t>REPRISE ITE FACADE</t>
  </si>
  <si>
    <t>COUPE DES HAIES</t>
  </si>
  <si>
    <t>PRÉPARATION DE SUPPORT MAÇON</t>
  </si>
  <si>
    <t>4  RUE JEAN-LOUIS DEBAR</t>
  </si>
  <si>
    <t>CLOTURE</t>
  </si>
  <si>
    <t>NETTOYAGE ET APPLIQUE COUCHE ÉTANCHEITE</t>
  </si>
  <si>
    <t>COMMENCEMENT LE 30.03 AU 34 MARCEL CHATTON</t>
  </si>
  <si>
    <t>NETTOYAGE ET APPLIQUE COUCHE ETANCHEITE</t>
  </si>
  <si>
    <t>NETTOAYGE ET APPLIQUE COUCHE ETANCHIETE</t>
  </si>
  <si>
    <t>ISOLATION INTERIEURE DES CHAMBRES</t>
  </si>
  <si>
    <t>2  RUE ROBERT SAYEN</t>
  </si>
  <si>
    <t>REFECTION CANALISATION EXT</t>
  </si>
  <si>
    <t>OS HP 28 TRANSFORME 5008659</t>
  </si>
  <si>
    <t>18  RUE CAMILLE  SAENS (ER.15927)</t>
  </si>
  <si>
    <t>16/03/2026 : DEMANDE DE DEVIS A BUCZEK</t>
  </si>
  <si>
    <t>18 AV. D'A.F.N. 51430 TINQUEUX</t>
  </si>
  <si>
    <t>RÉPARATION RADIATEUR</t>
  </si>
  <si>
    <t>82 AV. DU CHAMP PAVEAU 51430 TINQUEUX</t>
  </si>
  <si>
    <t>REMISE EN FONCTION SYSTÈME DE VENTILATION INDIVIDUELLE</t>
  </si>
  <si>
    <t>16 MENDES FRANCE SB COURCELLES</t>
  </si>
  <si>
    <t>ISOLATION COMBLE</t>
  </si>
  <si>
    <t>139 RUE DU CHALET</t>
  </si>
  <si>
    <t>REFECTION MUR DE LA COUR</t>
  </si>
  <si>
    <t>1 ALLEE DU MONT TREMPE</t>
  </si>
  <si>
    <t>REMPLACEMENT CANALISATION EU PRINCIPALE</t>
  </si>
  <si>
    <t>DICT EN COURS ATTENTE RETOUR POUR PROGRAMMER DATE DES TRAVAUX</t>
  </si>
  <si>
    <t>REFECTION TOTALE DE LA CAGE D ESCALIERS</t>
  </si>
  <si>
    <t>7 ET 9 TILLION</t>
  </si>
  <si>
    <t>56 BOUCLE BELLE JOSÉPHINE, MAGNY-LE-HONGRE - ER.26198</t>
  </si>
  <si>
    <t>REPRISE ITI MME RACON - ER.28695</t>
  </si>
  <si>
    <t>DEV EVIZIO PRIS EN CHARGE PAR L'AGENCE</t>
  </si>
  <si>
    <t>MISE EN SÉCURITÉ ÉLÉCTRIQUE DES GAINES TECHNIQUES</t>
  </si>
  <si>
    <t>04/06/26 DEMANDE DE DEVIS A SEEI POUR CREATION D' UNE PRISE ELECTRIQUE DANS GAINE TECH DES 5 IMMEUBLES VISES</t>
  </si>
  <si>
    <t>14 RUE ILE DE FRANCE - EPERNAY (ER.T1573)</t>
  </si>
  <si>
    <t>FERMETURE LOCAUX POUBELLES (X4)</t>
  </si>
  <si>
    <t>DEVIS RECU - DP A FAIRE</t>
  </si>
  <si>
    <t>13750 EUROS TTC</t>
  </si>
  <si>
    <t>DP ENVOYEE LE 20.07.2026</t>
  </si>
  <si>
    <t>13 ANQUETIL</t>
  </si>
  <si>
    <t>REMISE EN PEINTURE ENTRÉE EXTÉRIEURE</t>
  </si>
  <si>
    <t>REIMS - LES TUILERIES (1ABCDE  RUE G.LAURENT, 9 BD ST MARCEAU)</t>
  </si>
  <si>
    <t>RENOVATION DES A SCENSEURS (ADF) (3/3)</t>
  </si>
  <si>
    <t>SYNDIC HORIZON - LES TUILERIES</t>
  </si>
  <si>
    <t xml:space="preserve">14/04 : ADF 01/04 (FOLIO 2215574 VALIDÉ) </t>
  </si>
  <si>
    <t>26/01:ADF 18/12/25 POUR 01/01/26</t>
  </si>
  <si>
    <t>RAVALEMENT DE FAÇADE</t>
  </si>
  <si>
    <t>PDP ENVOYÉ LE 14/1/2026</t>
  </si>
  <si>
    <t>POSE DE BANDEAUX VENTOUSES SUR PORTE HALL (6 ENTRÉES)</t>
  </si>
  <si>
    <t>REIMS - RUE HUET 12-14 / BETHLEEM 6 AU 14</t>
  </si>
  <si>
    <t>REPRISE ETANCHEITÉ (2/4)</t>
  </si>
  <si>
    <t>AU CAS OU</t>
  </si>
  <si>
    <t>1 RUE PIERRE AUGUSTE ADET</t>
  </si>
  <si>
    <t>DÉMOUSSAGE TOITURE VOIR A INTERGRER D'AUTRE DU QUARTIER</t>
  </si>
  <si>
    <t>14 RUE DOM PÉRIGNON</t>
  </si>
  <si>
    <t>ECLAIRAGE DES COMMUNS À REVOIR + CONSUEL SG</t>
  </si>
  <si>
    <t>INDIV IMPASSE DEMOLIN</t>
  </si>
  <si>
    <t>REMPLACEMENT FENÊTRE DE TOIT CAMPAGNE SUR LES INDIVIDUELS</t>
  </si>
  <si>
    <t>REIMS - RUE DE BOUZY 9 (ER.B1355.001)</t>
  </si>
  <si>
    <t>REPRISE ÉTANCHEITÉ FACADE</t>
  </si>
  <si>
    <t>11 PEGUY</t>
  </si>
  <si>
    <t>PORTE ACCES SS</t>
  </si>
  <si>
    <t>REIMS - RESID. DUC DE BERRY (2E+2F  RUE DE CHEVIGNÉ)</t>
  </si>
  <si>
    <t>RENOVATION ASCENSEUR (ADF)(3/3)</t>
  </si>
  <si>
    <t>SDC LE DUC DE BERRY</t>
  </si>
  <si>
    <t>26/01: ADF VALIDÉ LE26/01/26</t>
  </si>
  <si>
    <t>134 RUE CHARLES ARNOULD</t>
  </si>
  <si>
    <t>REIMS - 14 RUE VIELLART (ER.T0736) FAIRE LA TRANCHE COMPLETE</t>
  </si>
  <si>
    <t>DEMOUSSAGE</t>
  </si>
  <si>
    <t>193 RUE PAUL VAILLANT COUTURIER (ER.E0601.001.193)</t>
  </si>
  <si>
    <t>REMPLACEMENT BATTERIE BAL</t>
  </si>
  <si>
    <t>VENTILATION NAUDIN</t>
  </si>
  <si>
    <t>REPRISE ETANCHEITÉ PARKINGS  (1/2)</t>
  </si>
  <si>
    <t>30/03 : EMAIL LAC/EST : DDE CONFIRMATION DATE DÉMARRAGE TVX</t>
  </si>
  <si>
    <t>REMPLACMT PORTES ACCÈS (CAVES EXT, HALL, ¿)(3/4)</t>
  </si>
  <si>
    <t>18/02:EMAIL ETS/LAC : CONFIRMATION INTERV S16-S1728/01 : DDE DEVIS MAJ (OS5026203)</t>
  </si>
  <si>
    <t>REMPLACMT P.PALIÈRES (2/5)</t>
  </si>
  <si>
    <t>14/09: ENT.TEL ETS/LAC : APPRO S45</t>
  </si>
  <si>
    <t>28/01 : DDE DEVIS MAJ (OS5026157)</t>
  </si>
  <si>
    <t>REIMS - RAYMOND GUYOT (N°27) (GARAGE )(ER.E0156.G05)</t>
  </si>
  <si>
    <t>AUTOMATISATION ECLAIRAGE (R-2)</t>
  </si>
  <si>
    <t>06/01: DDE DEVIS À S4C VIA OS CE JOUR</t>
  </si>
  <si>
    <t>THIL IMPAIR</t>
  </si>
  <si>
    <t>PROVISION REMPLACEMENT VANNES EC EF</t>
  </si>
  <si>
    <t>STAND BY EN CAS DE BESOIN</t>
  </si>
  <si>
    <t>SENART PONGIVART</t>
  </si>
  <si>
    <t>ADF ÉCLAIRAGE ET CAMÉRA</t>
  </si>
  <si>
    <t>PLURIAL NOVILIA -SDC ST BENOIT</t>
  </si>
  <si>
    <t>10 PAVILLONS  DU 52 AU 62 MOREAU</t>
  </si>
  <si>
    <t>CRÉATION VENTILLATION X10</t>
  </si>
  <si>
    <t>REMPLACEMENT PORTES PAVILLONNAIRES</t>
  </si>
  <si>
    <t>REMPLACEMENT TOITURE</t>
  </si>
  <si>
    <t>RUE MONT D ARENE</t>
  </si>
  <si>
    <t>5 PORTES GARAGES 127 129 125 C D E</t>
  </si>
  <si>
    <t>27 PERRIN</t>
  </si>
  <si>
    <t>REMPLT CANALISATIONS CAVE</t>
  </si>
  <si>
    <t>RÉFECTION COUVERTURE (1/2)</t>
  </si>
  <si>
    <t>PREMIER DEVIS PLUS HAUT QUE L'ESTIME REPORT 2027</t>
  </si>
  <si>
    <t>63 BD DAUPHINOT</t>
  </si>
  <si>
    <t>REMPLACEMENT PORTES FENÊTRES COULISSANTES</t>
  </si>
  <si>
    <t>16 RUE MAUCROIX</t>
  </si>
  <si>
    <t>REMPLT MINUTERIE PAR GLOBE A DETECTION RDC ET 3 ETAGE + RENFORT DE FX PLAFOND</t>
  </si>
  <si>
    <t>34 AV CHARLES FANDRES</t>
  </si>
  <si>
    <t>REMPLACEMENT DE MENUISERIES FUYANTES</t>
  </si>
  <si>
    <t>10 C PRIEUR DE LA MARNE</t>
  </si>
  <si>
    <t>REPRISE ENTREE EN CARRELAGE</t>
  </si>
  <si>
    <t>137 RUE DE COURCELLES</t>
  </si>
  <si>
    <t>FENÊTRE DES LOGEMENTS VOILÉES</t>
  </si>
  <si>
    <t>RÉFECTION DES TERRASSES DU DERNIER ÉTAGE</t>
  </si>
  <si>
    <t>REPRISE ÉTANCHÉITÉ</t>
  </si>
  <si>
    <t>AUTRE CMD VALIDÉ EN COURS</t>
  </si>
  <si>
    <t>REPRISE D'ÉTANCHÉITÉ DE BALCONS</t>
  </si>
  <si>
    <t>INDIVIDUEL DEMOLIN</t>
  </si>
  <si>
    <t>POSE DE VMC</t>
  </si>
  <si>
    <t>204 RUE PAUL VAILLANT COUTURIER</t>
  </si>
  <si>
    <t>CRÉATION D'UNE VMC DANS LES LOGEMENTS / PROBLEME HUMIDITÉ</t>
  </si>
  <si>
    <t>LAUSSERAND</t>
  </si>
  <si>
    <t>WARMERIVILLE - RUE DU 11 NOVEMBRE - DU 11A AU 11 G</t>
  </si>
  <si>
    <t>REIMS - RUE DE BOUZY 7 (ER.E1311.001.007)</t>
  </si>
  <si>
    <t>REMPLACMT PORTE DE HALL</t>
  </si>
  <si>
    <t>28/01 : DDE DEVIS MAJ (OS5026183)</t>
  </si>
  <si>
    <t>REIMS - RUE DE BOUZY 9 (ER.E1321)</t>
  </si>
  <si>
    <t>REPRISE CARRELAGE DECOLLÉ - ER.28559</t>
  </si>
  <si>
    <t>REPRISE ETANCHÉITÉ  (COUVERTURE + FACADE) (2/3)</t>
  </si>
  <si>
    <t>26/01: DELAI SELON RDV LAC/ETS DU 19/01</t>
  </si>
  <si>
    <t>52 AVENUE SAINT-SAENS, SMSO</t>
  </si>
  <si>
    <t>DÉPOSE DE BANCS (ANTI-SQUAT)</t>
  </si>
  <si>
    <t>2-6-8 FAURE ET 8-10 AVENUE BEETHOVEN - EPERNAY   (ER.T0890)</t>
  </si>
  <si>
    <t>AO VENTILATION</t>
  </si>
  <si>
    <t>EN COURS D'ATTRIBUTION - TRAVAUX JUILLET 26</t>
  </si>
  <si>
    <t>REMISE EN ETAT ITE</t>
  </si>
  <si>
    <t>REPORT 3 À 5 ANS</t>
  </si>
  <si>
    <t>1 À 9 RUE DES FRÉNES - AUVE</t>
  </si>
  <si>
    <t>LESSIVAGE FAÇADES ET DÉMOUSSAGE TOITURE</t>
  </si>
  <si>
    <t>RUE DES REINETTES, VILLENEUVE-SAINT-DENIS</t>
  </si>
  <si>
    <t>INFILTRATION TUILE CASSÉ - ER.26605</t>
  </si>
  <si>
    <t>SDC 49 JAURES</t>
  </si>
  <si>
    <t>ADF REMPLACEMENT DE TOITURE</t>
  </si>
  <si>
    <t>SDC 49 JAURES - 1025</t>
  </si>
  <si>
    <t>SDC CARRE DES SACRES</t>
  </si>
  <si>
    <t>ADF ECLAIRAGE EXT</t>
  </si>
  <si>
    <t>SDC LE CARRE DES SENS</t>
  </si>
  <si>
    <t>AMENAGEMENT PLACE ENTRE 18 ET 18BIS</t>
  </si>
  <si>
    <t>FRESNAY TINQUEUX</t>
  </si>
  <si>
    <t>ELAGAGE</t>
  </si>
  <si>
    <t>12 RUE DU RONDEAU - MONTMIRAIL</t>
  </si>
  <si>
    <t>REMPLACEMENT FENÊTRES VOLETS ROULANTS</t>
  </si>
  <si>
    <t>IMPASSE DES 3 RIVIERES - EPERNAY</t>
  </si>
  <si>
    <t>REPRISE DES RELEVÉS D'ÉTANCHÉITÉ ET SOLIN</t>
  </si>
  <si>
    <t>GESTION RUISSELLEMENT EP GARAGE</t>
  </si>
  <si>
    <t>08/09/26: EN ATTENTE PROBLEMATIQUE EVACUATION DECOUVERT AU COMMENCEMENT DE LA REHAB</t>
  </si>
  <si>
    <t>REIMS - RUE HUET - GARAGES - ER,T0133</t>
  </si>
  <si>
    <t>STATIONNEMENT EXTERIEUR : PEINTURE</t>
  </si>
  <si>
    <t>HELIOS T1 MARQUAGE ROUTIER</t>
  </si>
  <si>
    <t>30/03: ENT.TEL INTERV CE JOUR ANNULÉE (PLUIE ET REPRTÉE AU 31/03</t>
  </si>
  <si>
    <t>1E RUE ROGER SALENGRO 3A ER.19120</t>
  </si>
  <si>
    <t>REMPLACEMENT DE 3 VELUX FUYARDS  Y COMPRIS VR ELEC</t>
  </si>
  <si>
    <t>BEINE NAUROY - RUE F.LEFEBVRE</t>
  </si>
  <si>
    <t>REMPLACEMENT PE</t>
  </si>
  <si>
    <t>22/05: APPRO OK, RDV ETS/CLT A FIXER</t>
  </si>
  <si>
    <t>INDIVIDUEL FROISSART</t>
  </si>
  <si>
    <t>SÉCUIRSATION DES ACCÈS SUITES CAMBRIOLAGES RÉPÉTÉS</t>
  </si>
  <si>
    <t>SYNDIC HORIZON - RES. L'ILIADE</t>
  </si>
  <si>
    <t>20/03: ADF - VALID FOLIO  2206908</t>
  </si>
  <si>
    <t xml:space="preserve"> 26/01: ADF FOLIO 2185727</t>
  </si>
  <si>
    <t>95 À 184 BD HOLBEACH + 320 À 340 MALCH - SEZANNE</t>
  </si>
  <si>
    <t>RÉFECTION PAREMENT EN BRIQUE AUTOUR DES ENTRÉES</t>
  </si>
  <si>
    <t>LE PARADIS - SEZANNE</t>
  </si>
  <si>
    <t>REFECTION DES TERRASSES</t>
  </si>
  <si>
    <t>27 PLACE CHAMP BENOIST - SEZANNE</t>
  </si>
  <si>
    <t>REFECTION PLANCHER BOIS</t>
  </si>
  <si>
    <t>SARL QADRA</t>
  </si>
  <si>
    <t>1  RUE DES RECOLLETS - SEZANNE</t>
  </si>
  <si>
    <t>REPRISE ETANCHEITE SEUIL PORTE FENETRE</t>
  </si>
  <si>
    <t>4  ALLEE JEAN MOULIN - ESTERNAY</t>
  </si>
  <si>
    <t>REFECTION MUR DE SOUTENEMENT</t>
  </si>
  <si>
    <t>REFECTION MUR ET GRILLAGE FACE PAVILLONS</t>
  </si>
  <si>
    <t>COURRIER ADRESSÉ À VOISIN ARTISANT POUR MUR MITOYEN</t>
  </si>
  <si>
    <t>ALLEE DE STERNBERG - SEZANNE</t>
  </si>
  <si>
    <t>06  PLACE FREROT - MONTMIRAIL</t>
  </si>
  <si>
    <t>RETRAIT FRISETTE</t>
  </si>
  <si>
    <t>33 A 43 RUE DES TILLEULS - MONTMIRAIL</t>
  </si>
  <si>
    <t>ZAC SAINT PIERRE - SEZANNE (8)</t>
  </si>
  <si>
    <t>REPRISE DES AVANCEES EN BOIS</t>
  </si>
  <si>
    <t>EN COURS AVEC MG</t>
  </si>
  <si>
    <t>13 BIS MONTLEAN - MONTMIRAIL</t>
  </si>
  <si>
    <t>REPRISE PEINTURE CAGE ESCALIER ACCES SOUS SOL</t>
  </si>
  <si>
    <t>27 RUE DES SABLONS BEARN - SEZANNE</t>
  </si>
  <si>
    <t>MISE EN PLACE VMC HYBRIDE</t>
  </si>
  <si>
    <t>REMPLACEMENT FENÊTRES + VOLETS ROULANTS</t>
  </si>
  <si>
    <t>51 RUE DES CHATAIGNIERS - MONTMIRAIL - (ER.23376)</t>
  </si>
  <si>
    <t>REMPLACEMENT CLOTURE</t>
  </si>
  <si>
    <t>PAYSAGE SUBTIL</t>
  </si>
  <si>
    <t>REMPLACEMENT TOITURE FIBROCIMENT GARAGES ET LOCAL POUBELLE</t>
  </si>
  <si>
    <t>L.E.S INC</t>
  </si>
  <si>
    <t>RUE DE BROYES - 16 18 20 - SEZANNE</t>
  </si>
  <si>
    <t>REMPLACEMENT COUVERTURE</t>
  </si>
  <si>
    <t>BRIE CHAMPAGNE CONSTRUCTION</t>
  </si>
  <si>
    <t>BCC EN COURS</t>
  </si>
  <si>
    <t>12  RUE DES ANEMONES</t>
  </si>
  <si>
    <t>RETRAIT D UN SAPIN</t>
  </si>
  <si>
    <t>ALLÉE DES ROSE / RUE DES ANÉMONES</t>
  </si>
  <si>
    <t>DÉBROUSAILLAGE COMPLET PARCELLE DERRIÈRE BATTERIE GARAGE ALLÉE DES ROSES</t>
  </si>
  <si>
    <t>RUE LEON BLUM - FISMES</t>
  </si>
  <si>
    <t>ABATAGE ARBRE SUR TALUS</t>
  </si>
  <si>
    <t>2/4/6//8 RUE JEAN D'ORBAIS - REIMS</t>
  </si>
  <si>
    <t>ELAGAGE ET ABATTAGE ARBRE JARDIN ARRIÈRE</t>
  </si>
  <si>
    <t>ISOLATION SOUS DALLE PORCHE</t>
  </si>
  <si>
    <t>M2H AMÉNAGEMENT</t>
  </si>
  <si>
    <t>M2H</t>
  </si>
  <si>
    <t>REPRISE ABORDS (DEMOUSSAGE ET COUVERTINES ESCALIER)</t>
  </si>
  <si>
    <t>10 CHEMIN DU MIDI</t>
  </si>
  <si>
    <t>REPRISE DE LA FACADE EN BARDAGE BOIS</t>
  </si>
  <si>
    <t>17 RUE MARLOT</t>
  </si>
  <si>
    <t>ISOLATION SOUS FACE DALLE ALLEE RDC GARAGE</t>
  </si>
  <si>
    <t>16  RUE DE LA COMMUNE 02</t>
  </si>
  <si>
    <t>ESCALIER CATHÉDRAL DONNE SUR LE SALON DIFFICULTÉ DE CHAUFFE MANQUE ISOLATION</t>
  </si>
  <si>
    <t>À FAIRE</t>
  </si>
  <si>
    <t xml:space="preserve"> AV. D'A.F.N. N°11 PUIS RESTE DE LA RUE</t>
  </si>
  <si>
    <t>18 BIS MARLOT</t>
  </si>
  <si>
    <t>REPRISES EPEAUFRURES SUR JARDINIERES DES MAISONS 18 BIS MARLOT</t>
  </si>
  <si>
    <t>AMENAGEMENT PLACE ENTRE 18 18BIS MARLOT ET 70 JARD</t>
  </si>
  <si>
    <t>ALLEE JEAN-BAPTISTE WARGNIER</t>
  </si>
  <si>
    <t>CLOTURE MITOYENNE ENTRE IND WARGNIER</t>
  </si>
  <si>
    <t>11 RUE CHARLES DE GAULLE - VILLES EN TARDENOIS (ER.16810)</t>
  </si>
  <si>
    <t>REPRISE DIVERS (BARDAGE, SOUCHE, CHEMINÉE, DEP,¿)</t>
  </si>
  <si>
    <t>RUE ARLETTE REMIA - REIMS</t>
  </si>
  <si>
    <t>SEPARATION BALCON</t>
  </si>
  <si>
    <t>2 - 4 RUE PIERRE BROSSOLETTE</t>
  </si>
  <si>
    <t>TRAITEMENT FISSURES ET REPRISE T'ÉTANCHÉITÉ SUR FAÇADE</t>
  </si>
  <si>
    <t>4 RUE PASTEUR</t>
  </si>
  <si>
    <t>TRAITEMENT  DE L'HUMIDTÉ DANS LE LOGEMENT GROS TRAVAUX ISOLATION</t>
  </si>
  <si>
    <t>7-9/11 PASSE DEMOISELLE</t>
  </si>
  <si>
    <t>INSTALLATIONS VIITROPHANIE CONTRE LA CHALEUR</t>
  </si>
  <si>
    <t>61 P DOUMER - REIMS</t>
  </si>
  <si>
    <t>ACCÈS TOIT POUR MAINTENANCE</t>
  </si>
  <si>
    <t>2 RUE DU 4 AOUT 1789</t>
  </si>
  <si>
    <t>TAILLE ARBRES DES BERGES</t>
  </si>
  <si>
    <t>9,11,12,14,19,21 RUE DE LA BELLE IMAGE =&gt; 2026</t>
  </si>
  <si>
    <t>5,7,20,22 PROCESSION =&gt; 2027</t>
  </si>
  <si>
    <t>2,4 IMP. ROYATS GUEUX</t>
  </si>
  <si>
    <t>REPRISE FACADES ET DÉMOUSSAGE</t>
  </si>
  <si>
    <t>19 RUE DU 4 AOUT 1789</t>
  </si>
  <si>
    <t>5-7-9-11-13-15-17-19-21 RUE DU MOULIN À VENT - CORMICY</t>
  </si>
  <si>
    <t>36-36BIS COURLANCY -</t>
  </si>
  <si>
    <t>REPRISE DES EMBELLISSEMENTS HALL CAGE D'ESCALIERS</t>
  </si>
  <si>
    <t>36-36BIS COURLANCY - REIMS</t>
  </si>
  <si>
    <t>RÉVISION ENTRETIEN TOITURE TERRASSE</t>
  </si>
  <si>
    <t>30 AU 40 RUE DUNANT - CHA</t>
  </si>
  <si>
    <t>REMPLACEMENT DES TABLEAUX ÉLECTRIQUES + CONSUEL (X60%)</t>
  </si>
  <si>
    <t>EN PARTIE 2026 ET REPORT 2027</t>
  </si>
  <si>
    <t>9 RUE SONGY - CHÂLONS</t>
  </si>
  <si>
    <t>REMPLACEMENT DE LA PORTE DE HALL DU 9</t>
  </si>
  <si>
    <t>06/01: ENT. LAC/T.GAYET :  : INFILTRATION ACTIVE =&gt; INTERV A COMPTER DU 16/02 (SELON METEO)</t>
  </si>
  <si>
    <t>26 PIERRE FRESNAY</t>
  </si>
  <si>
    <t>REMPLACEMENT DOUCHE /WC</t>
  </si>
  <si>
    <t>4 ALGER</t>
  </si>
  <si>
    <t>REPRISE CHEMINÉE</t>
  </si>
  <si>
    <t>5 FANDRE</t>
  </si>
  <si>
    <t>REMPLACEMENT DE MENUISEIRES</t>
  </si>
  <si>
    <t>5 À 11 POINCARE</t>
  </si>
  <si>
    <t>CHANGEMENT DE NUMÉROTATION</t>
  </si>
  <si>
    <t>1 ESPLANADE LE ROUET 4B</t>
  </si>
  <si>
    <t>REMPLACEMENT 2 VIEUX VELUX DE CHAMBRES</t>
  </si>
  <si>
    <t>20 RUE DE SULLY</t>
  </si>
  <si>
    <t>REPRISE GRILLAGE</t>
  </si>
  <si>
    <t>RUE RENE MICHEL, CHAUMES-EN-BRIE</t>
  </si>
  <si>
    <t>REPRISE EN PEINTURE DES CAGES D'ESCALIERS</t>
  </si>
  <si>
    <t>CHEYSSON</t>
  </si>
  <si>
    <t>RUE DES ANÉMONES</t>
  </si>
  <si>
    <t>IMPASSE LÉON BOURGEOIS - TINQUEUX</t>
  </si>
  <si>
    <t>DÉMOUSSAGE TOITURES + PLANCHES DE RIVES + VELUX</t>
  </si>
  <si>
    <t>2 À 12 ET 1 À 25 RUE L.BLUM, 1 À 9 RUE P.FORT, 41 À 47 RUE J.JAURES - FISMES</t>
  </si>
  <si>
    <t>DÉMOUSSAGE DE FAÇADES</t>
  </si>
  <si>
    <t>RUBAN BLEU/ DOUMER</t>
  </si>
  <si>
    <t>RÉFECTION CAGES 1/3</t>
  </si>
  <si>
    <t>44 BOULARD</t>
  </si>
  <si>
    <t>V R DE VELUX ARRIERE</t>
  </si>
  <si>
    <t>1 À 9 RUE BROSSOLETTE + 1 RUE ARAGON - FISMES</t>
  </si>
  <si>
    <t>DÉMOUSSAGE + REMPLACEMENT GOUTIÈRES</t>
  </si>
  <si>
    <t>POSE VMC COLLECTIVE CP 18 M FRANCE</t>
  </si>
  <si>
    <t>26/28/36 VENISE</t>
  </si>
  <si>
    <t>REPRISE DES EMBELLISEMENTS HALL ET CAGE ESCALIERS</t>
  </si>
  <si>
    <t>30 RUE DE LA LIBERTE - TINQUEUX</t>
  </si>
  <si>
    <t>REMIS EN SECURITÉ ELECTRIQUE DES LOGEMENTS + CONSUEL</t>
  </si>
  <si>
    <t>ALLEE MARCEL L HERBIER</t>
  </si>
  <si>
    <t>RÉVISION TOITURE+DÉMOUSSAGE+ RIVES PVC</t>
  </si>
  <si>
    <t>3  RUE DES FEDERES</t>
  </si>
  <si>
    <t>PLANCHE DE RIVE À REMPLACER</t>
  </si>
  <si>
    <t>ALLEE LOUIS JOUVET</t>
  </si>
  <si>
    <t>RAVALEMENT FAÇADE</t>
  </si>
  <si>
    <t xml:space="preserve"> 16 - 18 GLORIEUX</t>
  </si>
  <si>
    <t>REMISE EN PEINTURE PARTIES COMMUNES + SOLS</t>
  </si>
  <si>
    <t>13 À 23 RUE D'AFN ET 16 À 24 RUE D'AFN</t>
  </si>
  <si>
    <t>ANNULE A PROGRAMMER SUR 2027 / 2028 RAVALEMENT</t>
  </si>
  <si>
    <t xml:space="preserve"> ROSA FIIEVET - TINQUEUX</t>
  </si>
  <si>
    <t>1 À 12 RUE WARGNIER - TINQUEUX</t>
  </si>
  <si>
    <t>RAVALEMENT PARTIEL DES FAÇADES + DÉMOUSSAGE</t>
  </si>
  <si>
    <t>1-2-3-4 PLACE JEAN RAIMU</t>
  </si>
  <si>
    <t>FACADE- TRAITEMENT CHAMPIGNONS</t>
  </si>
  <si>
    <t>RÉMIA</t>
  </si>
  <si>
    <t>REPRISE FAÇADE PIERRES DE PAREMENT</t>
  </si>
  <si>
    <t>RUE JULES MARTELET</t>
  </si>
  <si>
    <t>REMISE EN ÉTAT DES AUVENTS + NETTOYAGE DES CHENAUX</t>
  </si>
  <si>
    <t>2 ET 4  RUE BROSSOLETTE - FISMES</t>
  </si>
  <si>
    <t>RAVALEMENT DE FAÇADES PAR DÉMOUSSAGE</t>
  </si>
  <si>
    <t xml:space="preserve">   SOCHAMP</t>
  </si>
  <si>
    <t>REMISE EN SÉCURITÉ AUX ÉLECTRICITÉ LOGTS + CONSUEL</t>
  </si>
  <si>
    <t>S4C DEVIS</t>
  </si>
  <si>
    <t>1 ET 1BIS RUE JOSEPH MISIAK - FISMES</t>
  </si>
  <si>
    <t>POSE MAIN COURANTE RDC</t>
  </si>
  <si>
    <t>MIZIAK - FISMES</t>
  </si>
  <si>
    <t>RÉVISION ET DÉMOUSSAGE (GE)</t>
  </si>
  <si>
    <t>3 À 11 RUE VOLTAIRE - TINQUEUX</t>
  </si>
  <si>
    <t>RAVALEMENT DES FAÇADES</t>
  </si>
  <si>
    <t>3 BUIRETTE - GUEUX</t>
  </si>
  <si>
    <t>TRAITEMENT PARTIEL DE FAÇADE</t>
  </si>
  <si>
    <t>18,20 BUIRETTE GUEUX</t>
  </si>
  <si>
    <t>23 TERRES VIVIANTES GUEUX</t>
  </si>
  <si>
    <t>DÉMOUSSAGE TOITURE</t>
  </si>
  <si>
    <t>2-4 RUE KLEBER TINQUEUX</t>
  </si>
  <si>
    <t>RÉFECTION DES TOITURES TERRASSES À CONTRÔLER</t>
  </si>
  <si>
    <t>KLEBER CENTRE</t>
  </si>
  <si>
    <t>ENTRETIEN ÉTANCHÉITÉ TOITURE TÉRRASSE (GE)</t>
  </si>
  <si>
    <t>INDIVIDUELS - 1 AU 12 ALLÉE JEAN DÉCHAMPS - MUIZON (ER.T1114)</t>
  </si>
  <si>
    <t>10 RUE ARLETTE REMIA</t>
  </si>
  <si>
    <t>AUDIT FUITE GARAGE ET RERPISE</t>
  </si>
  <si>
    <t>1 RUE DALLIER</t>
  </si>
  <si>
    <t>CRÉATION VENTILATION (VB VH DANS CAVE) -&gt; GT DIVERS</t>
  </si>
  <si>
    <t>À FAIRE BODET</t>
  </si>
  <si>
    <t>VAUCHAMPS, MARCEAU</t>
  </si>
  <si>
    <t>JARDIN ARRIERE 10,12,14,16 RÉMIA</t>
  </si>
  <si>
    <t>ÉCLAIRAGE ACCÈS PMR ( DEVIS DEMANDÉ SEEI)</t>
  </si>
  <si>
    <t>DEVIS SEEI</t>
  </si>
  <si>
    <t>PLAC JEAN PAUL SARTRE - FISMES</t>
  </si>
  <si>
    <t>FLOCAGE SOUS DALLE</t>
  </si>
  <si>
    <t>RUE DU MOULIN DE L ECAILLE</t>
  </si>
  <si>
    <t>FLOCAGE SOUS PORCHE ENTREE</t>
  </si>
  <si>
    <t>FRANCOIS DOR SCULPTEURS JACQUES</t>
  </si>
  <si>
    <t>HABILLAGES TÔLE ANTI PIGEONS SUR BALCONS ARRIERE</t>
  </si>
  <si>
    <t>2 RUE MARLOT</t>
  </si>
  <si>
    <t>ISOLATION + PORTE GARAGE</t>
  </si>
  <si>
    <t>V R BAIES VITRÉES COLONNE B (GT)</t>
  </si>
  <si>
    <t>MISE EN PLACE DE VMC COLLECTIVE</t>
  </si>
  <si>
    <t>DU 30 AU 48 RUE CASANOVA - TINQUEUX</t>
  </si>
  <si>
    <t>MISE EN SÉCURITÉ ÉLECTRIQUE + POSE VMC + CONSUEL</t>
  </si>
  <si>
    <t>7  RUE DES PARAISONS</t>
  </si>
  <si>
    <t>PORTE ARRIÈRE HS (INFILTRATION / BOIS/ PASSAGE AIR)</t>
  </si>
  <si>
    <t>PV COUTURIER</t>
  </si>
  <si>
    <t>PORTE FENETRE</t>
  </si>
  <si>
    <t>PORTE PALIERE A REMPLACER</t>
  </si>
  <si>
    <t>EN ATTENTE 2027</t>
  </si>
  <si>
    <t>21 RUE HINCMAR</t>
  </si>
  <si>
    <t xml:space="preserve">  GARAGE BAZARD 31 CASANOVA + 3 BONAPARTE</t>
  </si>
  <si>
    <t>POSE DE CAMÉRAS SUITE AG (ADF)</t>
  </si>
  <si>
    <t>CHAMP PAVEAU</t>
  </si>
  <si>
    <t>RADIATEURS</t>
  </si>
  <si>
    <t>30 MONTREAL - EPERNAY</t>
  </si>
  <si>
    <t>REMPLACEMENT DES POELES PAR PAC</t>
  </si>
  <si>
    <t>12 RUE DES REINETTES, VILLENEUVE-SAINT-DENIS</t>
  </si>
  <si>
    <t>ITI PONCTUELLE AU NIVEAU DES PONTS THERIQUES CHAMBRE ET SDB - 12 RUE</t>
  </si>
  <si>
    <t>25 ET 27 RUE DE L'AMITIÉ ENTRE LES PEUPLES</t>
  </si>
  <si>
    <t>25 ET 27 RAVALEMENT PAVILLON</t>
  </si>
  <si>
    <t>11 RUE GILBERTE ET JEANDROIT</t>
  </si>
  <si>
    <t>REFECTION SALLE DE BAINS</t>
  </si>
  <si>
    <t>REFECTION HALL ET PARTIES COMMUNES</t>
  </si>
  <si>
    <t>22 BD AMITIÉ ENTRE LES PEUPLES - CHÂLONS</t>
  </si>
  <si>
    <t>RAVALEMENT PAVILLON</t>
  </si>
  <si>
    <t>DIFFU MOULIN/PERTHUIS/OEHMICHEN - CHÂLONS</t>
  </si>
  <si>
    <t>34 - 36 PERTHUIS - TÉFECTION ALLÉE</t>
  </si>
  <si>
    <t>DIFFU MOULIN/PERTHUIS/OEHMICHEN - CHA¿LONS</t>
  </si>
  <si>
    <t>81 ORANDOUR - R2FECTION ALL2E</t>
  </si>
  <si>
    <t>9 BIS DOMAINE DES SAULES - SEZANNE</t>
  </si>
  <si>
    <t>REMPLACEMENT CHASSIS COULISSANT</t>
  </si>
  <si>
    <t>TAMS (AMS 10)</t>
  </si>
  <si>
    <t>RUE DES TILLEULS - MONTMIRAIL - ER.64669</t>
  </si>
  <si>
    <t>ISOLATION COMBLES</t>
  </si>
  <si>
    <t>FOYER: PAPILLONS BLANCS - FAMA - CORMONTREUIL</t>
  </si>
  <si>
    <t>BARDAGES - RIVE &amp; COUVERTINE: UNITE BLEUE</t>
  </si>
  <si>
    <t>84 COMMUNE SAINT BRICE</t>
  </si>
  <si>
    <t>16 CHANZY CORMONTREUIL  ER.15984</t>
  </si>
  <si>
    <t>POSE PORTE BLINDEE SECURISATION SITE AVANT DEMOL</t>
  </si>
  <si>
    <t>POSE CLOTURE SUITE DEPOSE CABANON</t>
  </si>
  <si>
    <t>PORTE DE LAON</t>
  </si>
  <si>
    <t>ADF REMPLACEMENT PORTE DE GARAGE</t>
  </si>
  <si>
    <t>SACCLO P DE LAON S036</t>
  </si>
  <si>
    <t>ADF MESURES CONSERVATOIRES</t>
  </si>
  <si>
    <t>REMPLACEMENT 12 VOLETS BATTANTS</t>
  </si>
  <si>
    <t>PRÉLÉVEMENT POUR DAAT</t>
  </si>
  <si>
    <t>LES TERRASSES - SAINT DIZIER</t>
  </si>
  <si>
    <t>DIAGNOSTIC TOITURE</t>
  </si>
  <si>
    <t>SOCIETE D'EXPERTISES SECC</t>
  </si>
  <si>
    <t>REMPLACEMENT 6 VOLETS BATTANTS</t>
  </si>
  <si>
    <t>3 FOSSES DE RONDE - AMBONNAY (ER.T0974)</t>
  </si>
  <si>
    <t>5 FOSSES DE RONDE - AMBONNAY (ER.T0974)</t>
  </si>
  <si>
    <t>50 BARRIERES DE PARKING IND.</t>
  </si>
  <si>
    <t>GRILLE D'ACCÈS TOITURE</t>
  </si>
  <si>
    <t>39 RUE JULES LOBET - EPERNAY (ER.62968)</t>
  </si>
  <si>
    <t>DAAT SDB</t>
  </si>
  <si>
    <t>04.09.2026 - BASCULE COMPTA CHANTIER SUR BUDGET PMR OK</t>
  </si>
  <si>
    <t>REVISION PORTAIL ACCES JARDIN</t>
  </si>
  <si>
    <t>REMPLACEMENT CANALISATION EU</t>
  </si>
  <si>
    <t>REMPLACMT PORTE HALL - VISIO</t>
  </si>
  <si>
    <t>3 GRANDE RUE</t>
  </si>
  <si>
    <t>URGENT DEMOLITION DU CARPORT</t>
  </si>
  <si>
    <t>SUITE MESURES CONSERVATOIRES/ DEPOSE DU CARPORT POUR PERMETTRE A NOUVEAU L ACCES AU STATIONNEMENT</t>
  </si>
  <si>
    <t>CREATION D UNE COUVERTURE</t>
  </si>
  <si>
    <t>01 RUE GOSSELIN</t>
  </si>
  <si>
    <t>COPRO: RÉFECTION ALARME</t>
  </si>
  <si>
    <t>SDC L'IMPERIALE</t>
  </si>
  <si>
    <t>4 DALIER 5C</t>
  </si>
  <si>
    <t>REMPLACEMENT UNE PF</t>
  </si>
  <si>
    <t>42 RUE DE THILLOIS CHAMPIGNY</t>
  </si>
  <si>
    <t>SEPARATION DES DESCENTE EP ET REMPLACEMENT GOUTTIERES</t>
  </si>
  <si>
    <t>REMPLACEMENT VOLETS HS AVANT PEINTURE</t>
  </si>
  <si>
    <t>6 RUE FERNAND BUFFET - MAGENTA</t>
  </si>
  <si>
    <t>REMPLACEMENT FENETRE</t>
  </si>
  <si>
    <t>ALLEE F MANSART - GD ALLEE LE NOTRE, LOGNES</t>
  </si>
  <si>
    <t>RACHAT - SECURISATION BOXES</t>
  </si>
  <si>
    <t>PLACE THOMAS LE PILLEUR, SERRIS - ER.26256</t>
  </si>
  <si>
    <t>REMPLACEMENT MENUIS. VB - ER.26256</t>
  </si>
  <si>
    <t>OPALEADE</t>
  </si>
  <si>
    <t>APPEL FOND COPRORÉFECTION TOITURE</t>
  </si>
  <si>
    <t>POLIDROME</t>
  </si>
  <si>
    <t>FIXATION PLAQUE EN TOITURE/ APPEL DE FOND</t>
  </si>
  <si>
    <t>DÉLIGNAGE DES PORTES</t>
  </si>
  <si>
    <t>(v) Sécurité</t>
  </si>
  <si>
    <t>2TER PICARDIE - EPERNAY (ER.60306)</t>
  </si>
  <si>
    <t>REMPLACEMENT ETANCHEITE CAISSON VMC ET PLATINE EP</t>
  </si>
  <si>
    <t>17 AVENUE DU GÉNÉRAL LECLERC - DIZY</t>
  </si>
  <si>
    <t>RÉFECTION SALLE DE DOUCHE</t>
  </si>
  <si>
    <t>18 PLACE DU DOCTEUR HUGUIER - SEZANNE</t>
  </si>
  <si>
    <t>ISOLATION FINE - ESCALIER - PLACARD - SDB</t>
  </si>
  <si>
    <t>6 RUE DES PARAISONS</t>
  </si>
  <si>
    <t>TUYAUTERIE MULTI-COUCHES</t>
  </si>
  <si>
    <t>TS STÉRILISATION</t>
  </si>
  <si>
    <t>4 RUE COSMES CLAUSE - XHÂLONS</t>
  </si>
  <si>
    <t>ER.19147: REMISE EN ÉTAT RÉSEAU CHAUFFAGE</t>
  </si>
  <si>
    <t>1 À 19 RUE D'ORLEANS - CHÂLONS</t>
  </si>
  <si>
    <t>FOURNITURE CYLINDRES MAUER - 9 ORLEANS</t>
  </si>
  <si>
    <t>PREVOT-SMETA</t>
  </si>
  <si>
    <t>44 CASGOGNE ER.11223</t>
  </si>
  <si>
    <t>REMPL CANALISATION AEP EN EXT</t>
  </si>
  <si>
    <t>BOX LOOUVOIS ER.B0040.G02</t>
  </si>
  <si>
    <t>REMPL PORTE DE BOX N°8</t>
  </si>
  <si>
    <t>CHAUFFERIE 9 COOK</t>
  </si>
  <si>
    <t>REFECTION RESEAU EP FUYARD INTERIEUR</t>
  </si>
  <si>
    <t>QUARTIER LA GOULETTE</t>
  </si>
  <si>
    <t>PERCEMENT DE DALLE</t>
  </si>
  <si>
    <t>CTP CHAMPAGNE TRAV. PUBLIC</t>
  </si>
  <si>
    <t>PDP ENVOYE LE 14/1/26</t>
  </si>
  <si>
    <t>14 ET 18 ERNEST LEFEVRE</t>
  </si>
  <si>
    <t>REMPLACEMENT DE MENUISERIES</t>
  </si>
  <si>
    <t>1  RUE MAURICE PELTHIER 02 B ER.18778</t>
  </si>
  <si>
    <t>REMPLACEMENT PORTE FENETERE DEBOITANT SUR COULISSANT DEBOITANT SEJOUR</t>
  </si>
  <si>
    <t>18 TRONSSON LECOMTE</t>
  </si>
  <si>
    <t>PASSAGE DE RESEAU EN APPARENT</t>
  </si>
  <si>
    <t>TS KIT OCCULTANT</t>
  </si>
  <si>
    <t>86 ET 88 COURONNES DES INDES ET 2 ROCHE</t>
  </si>
  <si>
    <t>RAVALEMENT DE FAÇADES PAR DRONE 14 SIDANNER</t>
  </si>
  <si>
    <t>CHEMIN DES BOUCHERS</t>
  </si>
  <si>
    <t>NETTOYAGE TERRAIN</t>
  </si>
  <si>
    <t>REMP. REGULATEURS</t>
  </si>
  <si>
    <t>27 RUE DE CHAMPAGNE - AMBONNAY (ER.T0500)</t>
  </si>
  <si>
    <t>SUPPRESSION DE LA HAIE</t>
  </si>
  <si>
    <t>PDP ENVOYE</t>
  </si>
  <si>
    <t>TRAVAUX DIVERS</t>
  </si>
  <si>
    <t>REIMS - MARIN LA MESLEE 2AB</t>
  </si>
  <si>
    <t>CREATION GOULOTTE HALL POUR FO</t>
  </si>
  <si>
    <t>8 URVILLE</t>
  </si>
  <si>
    <t>REMPLACEMANT MOTORISATION SOLAIRE PAR FILAIRE 3 VR</t>
  </si>
  <si>
    <t>29 SOPHIE GERMAIN ER.19817</t>
  </si>
  <si>
    <t>REMPLACEMENT FENETRE COULISSANTE ALU NON REPARABLE</t>
  </si>
  <si>
    <t>16 RUE CHANZY CORMONTREUIL ER.15984</t>
  </si>
  <si>
    <t>MISE EN SECURITE PAVILLON PAR PARPAING SUR TOUTES LES FENETRES</t>
  </si>
  <si>
    <t>POSE CLOTURE AVANT</t>
  </si>
  <si>
    <t>REPRISE DES RELEVÉS D'ÉTANCHÉITÉ ET DES SOLINS</t>
  </si>
  <si>
    <t>RUE D'ALEMBERT ET JEAN JACQUES ROUSSEAU - SGDB</t>
  </si>
  <si>
    <t>DIAGNOSTIC ET REPERAGE DES RESEAUX DANS LES COURSIVES</t>
  </si>
  <si>
    <t>A LA DEMANDE DE MES RESPONSABLES</t>
  </si>
  <si>
    <t>DEPOSE RIDEAUX METALLIQUE X2 - MISE EN PLACE GARDE CORPS X2</t>
  </si>
  <si>
    <t>5 RUE DU DOCTEUR VERRON</t>
  </si>
  <si>
    <t>REMPLACEMENT FENETRE DE TOIT</t>
  </si>
  <si>
    <t>36 PVC</t>
  </si>
  <si>
    <t>REMPLACEMENT AXE RIDEAU METAL</t>
  </si>
  <si>
    <t>SA2J</t>
  </si>
  <si>
    <t>18 À 26 SAINT BRICE</t>
  </si>
  <si>
    <t>CRÉATION DE TROP PLEIN</t>
  </si>
  <si>
    <t>ADF PLATINES GAINES</t>
  </si>
  <si>
    <t>TRAVAUX COUVERTURE POUR TRAITEMENT DES EP</t>
  </si>
  <si>
    <t>2 BIS RUE DES ANEMONES - 51430 TINQUEUX</t>
  </si>
  <si>
    <t>VOLETS ROULANTS</t>
  </si>
  <si>
    <t>024 ALLÉE ALPHONSE DAUDET 51430 TINQUEUX - ER.17131</t>
  </si>
  <si>
    <t>REMPLACEMENT VELUX GGU</t>
  </si>
  <si>
    <t>12 RUE ILE DE FRANCE - EPERNAY (ER.T1573)</t>
  </si>
  <si>
    <t>REMPLACEMENT DU COLLECTEUR ENTRE SOUS SOL ET 2EME ETAGE</t>
  </si>
  <si>
    <t>7 RUE DU 372EME RALF - CHÂLONS</t>
  </si>
  <si>
    <t>RÉPARATION COLONNE D'EAU</t>
  </si>
  <si>
    <t>À TRAITER SUR PROG 2027 / 2028 / 2029</t>
  </si>
  <si>
    <t>5 RUE FLAUBERT - VITRY LE FRANÇOIS</t>
  </si>
  <si>
    <t>RÉFECTION PEINTURE SUITE PANNE VMC</t>
  </si>
  <si>
    <t>NETTOAYGE ET APPLIQUE COUCHE ETANCHEITE</t>
  </si>
  <si>
    <t>REMPLACEMENT VMC COLLECTIVE/ TRAINASSE</t>
  </si>
  <si>
    <t>REMPLACEMENT VMC COLLECTIVE</t>
  </si>
  <si>
    <t>REPRISE SUITE REHA</t>
  </si>
  <si>
    <t>TOUS ILOTS 01PONCE DE LEON 04A ER.05763</t>
  </si>
  <si>
    <t>TOUS ILOTS 04 HODIN 06B ER.05848</t>
  </si>
  <si>
    <t>TOUS ILOTS 7 HODIN 03B ER.05388</t>
  </si>
  <si>
    <t>TOUS ILOTS 16 URVILLE 05C ER.06355</t>
  </si>
  <si>
    <t>PREVOIR LIGNE BUDGETAIRE 30 A 40KE</t>
  </si>
  <si>
    <t>REPRISE EPAUFRURES FACADE AVANT</t>
  </si>
  <si>
    <t>19 BUISSON SAINT BRICE BRICE</t>
  </si>
  <si>
    <t>REPRISE TOITURE</t>
  </si>
  <si>
    <t>17 RUE FREDERIC PLOMB - EPERNAY</t>
  </si>
  <si>
    <t>REPRISE ENDUIT MUR COUR</t>
  </si>
  <si>
    <t>SACCLO PORTE DE LAON</t>
  </si>
  <si>
    <t>CAPOTAGE POT DE FLEURS</t>
  </si>
  <si>
    <t>253 JAUDES SDC MILLESIME</t>
  </si>
  <si>
    <t>ADF POSE DE POTELÉS</t>
  </si>
  <si>
    <t>SDC MILLESIME 180</t>
  </si>
  <si>
    <t>1 CHANZY VERZY ER.13664</t>
  </si>
  <si>
    <t>REMPLACEMENT VR HS</t>
  </si>
  <si>
    <t>01 FLAMAND 05D  ER.10922</t>
  </si>
  <si>
    <t>REMPLACEMENT CARRELAGE TRANCHANT DU LOGEMENT</t>
  </si>
  <si>
    <t>DÉVOIEMENT DES DESCENTES EP EXISTANTES</t>
  </si>
  <si>
    <t>RÉFECTION CARRELAGE LOCAL POUBELLES</t>
  </si>
  <si>
    <t>REMISE EN PEINTURE HALL 15 LOYER</t>
  </si>
  <si>
    <t>BD MASSON</t>
  </si>
  <si>
    <t>MISE EN SECURITE ELMECTRIQUE ET VMC</t>
  </si>
  <si>
    <t>ADF PPT</t>
  </si>
  <si>
    <t>SDC DEKETELARE</t>
  </si>
  <si>
    <t>ADF POT DE FLEURS</t>
  </si>
  <si>
    <t>SMSO - TERRASSE CESAR FRANCK</t>
  </si>
  <si>
    <t>ADF TRAVAUX PARKING EXTERIEUR</t>
  </si>
  <si>
    <t>ADF</t>
  </si>
  <si>
    <t>FOURREAUX PARTIE PRIVATIVE</t>
  </si>
  <si>
    <t>REMPLACEMENT VB À ANNULER</t>
  </si>
  <si>
    <t>6 FREDERIC PASSY - TINQUEUX</t>
  </si>
  <si>
    <t>REMPLACEMENT ECS THERMODYNAMIQUE</t>
  </si>
  <si>
    <t>06 PL MARMERY ER.13470</t>
  </si>
  <si>
    <t>REMPLACEMENT PORTE DE GARAGE PAR SECTIONNELLE ISOLANTE</t>
  </si>
  <si>
    <t>ENTRETIEN COUVERTURE - DEMOUSSAGE</t>
  </si>
  <si>
    <t>30/03: EMAIL INFO ETS SUR DATE INETRV</t>
  </si>
  <si>
    <t>1 RUE DE PARADIS - CHAMPILLON - ER.64450</t>
  </si>
  <si>
    <t>MISE EN SERVICE PAC ET DEPLACEMENT MODULE EXTERIEUR</t>
  </si>
  <si>
    <t>64 &amp; 66 BOULEVARD CHARLES DE GAULLE</t>
  </si>
  <si>
    <t>APPEL DE FONDS</t>
  </si>
  <si>
    <t>SDC PLURIAL NOVILIA</t>
  </si>
  <si>
    <t>8 MITTERRAND ER.17556</t>
  </si>
  <si>
    <t>REMPL CARRELAGE CUISINE PAR PVC LAME</t>
  </si>
  <si>
    <t>TRAVAUX CONCEPT</t>
  </si>
  <si>
    <t>TS CHATIÈRE</t>
  </si>
  <si>
    <t>13 ETTLINGEN - EPERNAY</t>
  </si>
  <si>
    <t>TRAVAUX EN FACADES - BALCONS</t>
  </si>
  <si>
    <t>331 AVENUE DE LAON</t>
  </si>
  <si>
    <t>ADF REFECTION TERRASSE</t>
  </si>
  <si>
    <t>SYNDIC HORIZON-RES. MARRONNIER</t>
  </si>
  <si>
    <t>RÉFECTION CAGE N°4</t>
  </si>
  <si>
    <t>RUE DE LA CLEF DES CHAMPS, MAGNY-LE-HONGRE - ER.39351</t>
  </si>
  <si>
    <t>RACHAT - TRAVAUX COUVERTURE - ER.39351</t>
  </si>
  <si>
    <t>RÉFECTION COMPLÉMENTAIRE PAREMENT BRIQUE</t>
  </si>
  <si>
    <t>16 RUE ALFRED NOBEL - EPERNAY</t>
  </si>
  <si>
    <t>GARAGE LOUVOIS</t>
  </si>
  <si>
    <t>REPRISE DE REMONTEE DE MACONNERIE SUR GARAGE</t>
  </si>
  <si>
    <t>6 ALPHONSE DAUDET TINQUEUX</t>
  </si>
  <si>
    <t>REMPLACEMENT VÉLUX GGU CONFORT ASPECT PVC 78X98 CM</t>
  </si>
  <si>
    <t>TOUS ILOTS 9 PASCAL 02A ER.05329</t>
  </si>
  <si>
    <t>REPROGRAMMATION VR CHAMBRE</t>
  </si>
  <si>
    <t>TOUS ILOTS 7 HODIN 04B ER.05390</t>
  </si>
  <si>
    <t>REPROGRAMMATION VR SEJOUR</t>
  </si>
  <si>
    <t>58 AVENUE SAINT SAENS, SMSO</t>
  </si>
  <si>
    <t>MISE EN PLACE D'UNE SIGNALETIQUE AU SOL ANTI-STATIONNEMENT</t>
  </si>
  <si>
    <t>5 RUE DES TAMARIS, QUINCY-SOUS-SENART</t>
  </si>
  <si>
    <t>REMPLACEMENT DU RESEAU GAZ DU LOGEMENT</t>
  </si>
  <si>
    <t>EGRPB BATIMENT</t>
  </si>
  <si>
    <t>18 FONTAINE DE LA TREILLE - SOUPPES SUR LOING</t>
  </si>
  <si>
    <t>REGUL 2025 - REMPLACEMENT D'UN VELUX HS</t>
  </si>
  <si>
    <t>REPRISE PARTIELLE ENDUIT GARAGE SUITE INFILTRATIONS</t>
  </si>
  <si>
    <t>16 AVENUE DE LA LIBERTE - SGDB</t>
  </si>
  <si>
    <t>1 ALLEE DE LA HALLE, MONTLHERY</t>
  </si>
  <si>
    <t>TRAVAUX DIVERS DE DEUX SDB</t>
  </si>
  <si>
    <t>58 FRANCHE COMTÉ - EPERNAY</t>
  </si>
  <si>
    <t>PROTECTION ET RENFORTS PORTE DE HALL</t>
  </si>
  <si>
    <t>18 RUE VAUCANSON</t>
  </si>
  <si>
    <t>AVENUE SAINT SAENS ET RUE DE LIERS - SMSO</t>
  </si>
  <si>
    <t>REGULARISATION - REMPLACEMENT DE FONTE</t>
  </si>
  <si>
    <t>DEMANDE FAITE PAR LA MAIRIE</t>
  </si>
  <si>
    <t>16 RUE DE LA LIBERTE - SGDB</t>
  </si>
  <si>
    <t>REFECTION FUITE COLONNE EU SDB</t>
  </si>
  <si>
    <t>12 RUE RÉCAMIER - CHÂLONS</t>
  </si>
  <si>
    <t>PEINTURE VOLETS BOIS</t>
  </si>
  <si>
    <t>RUE DE LA PORTE D'EN BAS 51160 HAUTVILLERS - ER.64469</t>
  </si>
  <si>
    <t>REMPLACEMENT PF PVC</t>
  </si>
  <si>
    <t>PARC DE FRENOIS</t>
  </si>
  <si>
    <t>REMPLACEMENT DE CARRELAGE</t>
  </si>
  <si>
    <t>76 ROMAINS</t>
  </si>
  <si>
    <t>RAT SUR COUVERTURE</t>
  </si>
  <si>
    <t>IMMOTECH</t>
  </si>
  <si>
    <t>6C DIANE FOSSEY</t>
  </si>
  <si>
    <t>RACCORDEMENT DE PIPETTE</t>
  </si>
  <si>
    <t>PDP ENVOYÉ LE 20/1/2026</t>
  </si>
  <si>
    <t>PROVISION REPRISE DES BECQUETS</t>
  </si>
  <si>
    <t>PDP ENVOYE LE 14/1/2026</t>
  </si>
  <si>
    <t>6 IMPASSE DEMOLIN</t>
  </si>
  <si>
    <t>POSE D'UN CAISSON VMC</t>
  </si>
  <si>
    <t>TRAVAUX TERMINÉS</t>
  </si>
  <si>
    <t>64 EDME MOREAU</t>
  </si>
  <si>
    <t>REMPLACEMENT DE PF</t>
  </si>
  <si>
    <t>20 PALACH</t>
  </si>
  <si>
    <t>REMPLACEMENT DE VELUX</t>
  </si>
  <si>
    <t>CRÉATION D'UNE VMC HYGRO A</t>
  </si>
  <si>
    <t>PDP ENVOYÉLE 20/1/2026</t>
  </si>
  <si>
    <t>32 RUE DES LILAS</t>
  </si>
  <si>
    <t>REMPLACEMENT DE TOITURE</t>
  </si>
  <si>
    <t>PDP ENVOYÉ LE 19/1/20206</t>
  </si>
  <si>
    <t>14/16 RUE MARYSE BASTIÉ (ER.B0076.001)</t>
  </si>
  <si>
    <t>MISE EN OEUVRE VMC</t>
  </si>
  <si>
    <t>1 - 3 DAUPHINOT ET 13 CM</t>
  </si>
  <si>
    <t>REMPLACEMENT DES VANNES D'ARRETS EP</t>
  </si>
  <si>
    <t>OK-VARIANTE EXIGEE GARDE-CORPS</t>
  </si>
  <si>
    <t>REMPLACEMENT AU COUP PAR COUP DES VOLETS ROULANTS</t>
  </si>
  <si>
    <t>MISE EN SECURITE ELECTRIQUE DES GAINES TECHNIQUES</t>
  </si>
  <si>
    <t>5082255 OS EN COURS POUR SEEI</t>
  </si>
  <si>
    <t>7 RUEDU PARLEMENT - CHÂLONS</t>
  </si>
  <si>
    <t>COMPLÉMENT POSE DE PICS À PIEGEONS</t>
  </si>
  <si>
    <t>TOUR BIRON - EPERNAY</t>
  </si>
  <si>
    <t>REMPLACEMENT CAISSON VENTILATION COLLECTIVE</t>
  </si>
  <si>
    <t>4 ALBERT CAMUS ER.E0081.001.004</t>
  </si>
  <si>
    <t>REMPLACEMENT D4UNE SECTIO AEP ENTRE LE 01B ET 02B</t>
  </si>
  <si>
    <t>TS REMPLACEMENT DE VELUX</t>
  </si>
  <si>
    <t>10 ESP BRIDE</t>
  </si>
  <si>
    <t>REMPLACEMENT DE MENUISERIE SUITE INFILTRATION</t>
  </si>
  <si>
    <t>REMPLACEMENT ECLAIRAGE GARAGE</t>
  </si>
  <si>
    <t>REFECTION ÉTANCHÉITÉ</t>
  </si>
  <si>
    <t>REFECTION DES TOITURES TERRASSES</t>
  </si>
  <si>
    <t>113  AVENUE JEAN JAURES, ROSNY SOUS BOIS</t>
  </si>
  <si>
    <t>2027 ADF - MAINT TOITURE COPRO 6 K€</t>
  </si>
  <si>
    <t>VRD PARKING</t>
  </si>
  <si>
    <t>LA GRAND RUELLE</t>
  </si>
  <si>
    <t>ELECTRICITÉ PARKING</t>
  </si>
  <si>
    <t>REVISION RET DEMOUSSAGE</t>
  </si>
  <si>
    <t>NOUVION SUR MEUSE REU GILBERT MEON</t>
  </si>
  <si>
    <t>REMPLACEMENT ESCALIER BOIS</t>
  </si>
  <si>
    <t>ETANCHÉITÉ - REPRISE SUITE DÉSORDRE</t>
  </si>
  <si>
    <t>21/04: EMAIL LAC/S04 CONFIRMATION INTERV LE 27/04</t>
  </si>
  <si>
    <t>14/04 :ENT.TEL ETS/LAC : INFO DATE PREV D'INTERV (DATE EXACTE SERA CONFIRMÉE MINI 48H AVANT INTERV)</t>
  </si>
  <si>
    <t>TRAVAUX PLOMBERIE LOC ER.66400</t>
  </si>
  <si>
    <t>CGMI</t>
  </si>
  <si>
    <t>44 AOUT 44</t>
  </si>
  <si>
    <t>REPRISE COUVERTINES</t>
  </si>
  <si>
    <t>COUVERTURE</t>
  </si>
  <si>
    <t>12 MOULIN DE LECAILLE TINQUEUX</t>
  </si>
  <si>
    <t>18 RUE DES RAVINS - ESTERNAY</t>
  </si>
  <si>
    <t>REPRISE COUVERTURE POUR VENTILATION</t>
  </si>
  <si>
    <t>REIMS - RUE FERRAND 17</t>
  </si>
  <si>
    <t>CAGE ESCALIERS - REPRISE DES PEINTURE</t>
  </si>
  <si>
    <t>REIMS ESPOIR JEUNES</t>
  </si>
  <si>
    <t>DÉPOSE REPOSE DE L'INTERPHONIE</t>
  </si>
  <si>
    <t>12C RUE DES RIVES DE MESLE - FLEURY-LA-RIVIERE</t>
  </si>
  <si>
    <t>DOUBLAGE ISOLANT SUITE MURS PLÄTRE DEGRADE</t>
  </si>
  <si>
    <t>MISE EN OEUVRE CLOTURES ACCES CAVE</t>
  </si>
  <si>
    <t>TRAVAUX REPRISE TIOTURE TERRASSE</t>
  </si>
  <si>
    <t>MONTMIRAIL</t>
  </si>
  <si>
    <t>73 BROSSOLETTE</t>
  </si>
  <si>
    <t>NETTOYAGE DE FAÇADE PAR DRONE POUR VENTE</t>
  </si>
  <si>
    <t>8 RUE DES CARDEURS</t>
  </si>
  <si>
    <t>REMPLACEMENT DE VÉLUX</t>
  </si>
  <si>
    <t>10 ET 12 SIMONE DE BEAUVOIR</t>
  </si>
  <si>
    <t>DIAG ET ENTRETIEN DES TOITURES</t>
  </si>
  <si>
    <t>2 À 8 SIMONE DE BEAUVOIR</t>
  </si>
  <si>
    <t>21BIS AV VERDUN - SAINT DIZIER</t>
  </si>
  <si>
    <t>RÉFECTION ALIMENTATION SURPRESSEUR</t>
  </si>
  <si>
    <t>IDEX ENERGIES</t>
  </si>
  <si>
    <t>OPALEADE - CHÂLONS</t>
  </si>
  <si>
    <t>COPRO REGUL TX TOITURE</t>
  </si>
  <si>
    <t>7 RUE DU PARLEMENT - CHÂLONS</t>
  </si>
  <si>
    <t>POSE PICS PIGEONS ET RÉFECTION TOITURE</t>
  </si>
  <si>
    <t>REPARATION FUITE EN DALLE</t>
  </si>
  <si>
    <t>PLOFEN</t>
  </si>
  <si>
    <t>RAT POUR POSE COMPTEUR</t>
  </si>
  <si>
    <t>REFECTION DES HALLS</t>
  </si>
  <si>
    <t>ALLEE DU 19 MARS 1962 - EPERNAY</t>
  </si>
  <si>
    <t>CMD 4859816 DE 2025 - TRESOR PUBLIC</t>
  </si>
  <si>
    <t>TRESORERIE EPERNAY MUNICIPALE</t>
  </si>
  <si>
    <t>REMPLACEMENT DES PORTES DE GARAGES</t>
  </si>
  <si>
    <t>ACORUS CHAMPAGNE</t>
  </si>
  <si>
    <t>RUE DU GAL FERY - CHÂLONS</t>
  </si>
  <si>
    <t>COPRO -SOLDE RÉFECTION TOITURE</t>
  </si>
  <si>
    <t>COPRO - SOLDE RAVALEMENT</t>
  </si>
  <si>
    <t>CH DE LA PORTE VERTE, MONTEVRAIN</t>
  </si>
  <si>
    <t>RACHAT - REPARATION COUVERTURE</t>
  </si>
  <si>
    <t>INSATLLATION VR SUITE REHA</t>
  </si>
  <si>
    <t>4 RUE LEON TOLSTOI</t>
  </si>
  <si>
    <t>SUITE PANNE VMC</t>
  </si>
  <si>
    <t>24 THIL</t>
  </si>
  <si>
    <t>CRÉATION D'UNE CONTRE CLOISON</t>
  </si>
  <si>
    <t>POSE DE CLOTURE PANNEAUX RIGIDE</t>
  </si>
  <si>
    <t>CRÉATION D'UN PUISARD</t>
  </si>
  <si>
    <t>REMPLACEMENT DE GRILLAGE</t>
  </si>
  <si>
    <t>POSE PORTE ANTIPANIQUE</t>
  </si>
  <si>
    <t>SACCLO PARK PROMEN S011</t>
  </si>
  <si>
    <t>49 E PVC</t>
  </si>
  <si>
    <t>REFECTION DE TETE DE MUR</t>
  </si>
  <si>
    <t>4 RUE DU 8 MAI 1945 - EPERNAY</t>
  </si>
  <si>
    <t>REPARATION SUITE À INFILTRATION</t>
  </si>
  <si>
    <t>1-2/4 PIERRE MAITRE - CHALONS</t>
  </si>
  <si>
    <t>TS RÉFECTION CAGE</t>
  </si>
  <si>
    <t>9 RUE OLONNA - SAINT DIZIER</t>
  </si>
  <si>
    <t>RÉFECTION PLANCHER</t>
  </si>
  <si>
    <t>REMPLACEMENT DES ECLAIRAGES HS</t>
  </si>
  <si>
    <t>REMPLACEMENT PORTAIL RESIDENCE</t>
  </si>
  <si>
    <t>5 RUE VOLTAIRE, SGDB</t>
  </si>
  <si>
    <t>REMPLACEMENT D'UNE PORTE PALIERE HS</t>
  </si>
  <si>
    <t>ER.26651 - TS TRAVAUX RÉFECTION PEINTURE</t>
  </si>
  <si>
    <t>7 IMPASSE DU BAS VILLAGE SILLERY ER.17803</t>
  </si>
  <si>
    <t>REMPLACEMENT CARRELAGE SEJOUR</t>
  </si>
  <si>
    <t>12 RUE DU PROFESSEUR FRANQUET</t>
  </si>
  <si>
    <t>REFECTION PARTIELLE DE LA CANALISATION EU</t>
  </si>
  <si>
    <t>5 RUE NIKI SAINT PHALLE</t>
  </si>
  <si>
    <t>REPRISE RAVALEMENT</t>
  </si>
  <si>
    <t>CORMICY</t>
  </si>
  <si>
    <t>1 PORTE</t>
  </si>
  <si>
    <t>RÉGULARISATION ERREUR IMPUTATION</t>
  </si>
  <si>
    <t>2 RUE LEBON - CHÂLONS</t>
  </si>
  <si>
    <t>RÉFECTION DOUCHE</t>
  </si>
  <si>
    <t>AQUADIM</t>
  </si>
  <si>
    <t>46 DE GAULLE CHÂLONS</t>
  </si>
  <si>
    <t>SOLDE TX RÉPARATION TRAME CHAUFFAGE</t>
  </si>
  <si>
    <t>SAS PERES</t>
  </si>
  <si>
    <t>15 RUE LT LOYER - CHÂLONS</t>
  </si>
  <si>
    <t>REPRISE ISOLATION</t>
  </si>
  <si>
    <t>FOYER: SILENES</t>
  </si>
  <si>
    <t>ETAIEMENT STRUCTURE POTEAUX/POUTRES</t>
  </si>
  <si>
    <t>03.06.2026 - DEMANDE FAITE A LA COMPTA POUR BASCULER CETTE COMMANDE SUR LA LIGNE 75/2026 EN CP ETANCHEITE</t>
  </si>
  <si>
    <t>INFILTRATION DOUCHE FUYARDE</t>
  </si>
  <si>
    <t>CARDON CYRIL - PLOMB-CHAUF.</t>
  </si>
  <si>
    <t>7-9 CHATEAU VERT - 16ABC ROCHERET - EPERNAY</t>
  </si>
  <si>
    <t>ETAIEMENT DU BALCON ER.65924 (ETAGE2)</t>
  </si>
  <si>
    <t>A REMMETRE SUR CP BALCONS</t>
  </si>
  <si>
    <t>RUE JULIAN GRIMAU, SGDB</t>
  </si>
  <si>
    <t>REPARATION D'UNE FUITE SOUS TERRE ET POSE D'UN REGARD ET TAMPON</t>
  </si>
  <si>
    <t>10 RUE DE LA BUFFE VERZENAY ER.14457</t>
  </si>
  <si>
    <t>12 TER COOK 07C ER.06995</t>
  </si>
  <si>
    <t>60 CHEMIN DES GARENNES - HAUTVILLERS (ER.66487)</t>
  </si>
  <si>
    <t>TRAVAUX COUVERTURE</t>
  </si>
  <si>
    <t>3 FOSSES DE RONDE  - AMBONNAY (ER.T0974)</t>
  </si>
  <si>
    <t>3 ET 5 FOSSES DE RONDE 51150 AMBONNAY</t>
  </si>
  <si>
    <t>REMPLACEMENT GOUTTIERES AU DROIT DE LA BOULANGERIE</t>
  </si>
  <si>
    <t>22.04: DOIT CONTACTER LA MAIRIE POUR FAIRE L'ARRETE DE VOIRIE</t>
  </si>
  <si>
    <t>21 RUE DE CHAMPAGNE - 51150 AMBONNAY (ER.16692)</t>
  </si>
  <si>
    <t>REMPLACEMENT PORTE FENETRE</t>
  </si>
  <si>
    <t>6 EGLANTINE - SAINT DIZIER</t>
  </si>
  <si>
    <t>ER.35267 - RÉFECTION CANALISATION DOUCHE</t>
  </si>
  <si>
    <t>REMPLACEMENT VANNES EF DES 8 PAVILLONS</t>
  </si>
  <si>
    <t>EVACUATION DE TERRE VEGETALE</t>
  </si>
  <si>
    <t>RUE DE LIERS, AVENUE SAINT SAENS ET RUE BIZET, SMSO</t>
  </si>
  <si>
    <t>REPARATION ET CONTROLE DE CAISSON VMC</t>
  </si>
  <si>
    <t>AIR THERM</t>
  </si>
  <si>
    <t>REPRISE ETANCHEITÉ SUITE INFILTRATION</t>
  </si>
  <si>
    <t>REPRISE ÉTANCHÉITÉ DE BALCON</t>
  </si>
  <si>
    <t>10 ALLÉE DES TROENES - DORMANS (ER.20388)</t>
  </si>
  <si>
    <t>REPARATION TOITURE</t>
  </si>
  <si>
    <t>RÉFECTION BALCONS COPRO 2/3</t>
  </si>
  <si>
    <t>6 ET 8 AV DE VALMY - CHALONS</t>
  </si>
  <si>
    <t>RÉFECTION BALCONS COPRO 3/3</t>
  </si>
  <si>
    <t>REPARATION FUITE AEP: PAVILLON 2</t>
  </si>
  <si>
    <t>LIGNE 430</t>
  </si>
  <si>
    <t>REMPLACMT P.PALIÈRES MV (2/5)</t>
  </si>
  <si>
    <t>7 BD DOCTEUR HEIRI HENROT - REIMS</t>
  </si>
  <si>
    <t>ETANCHÉITE TOITURE</t>
  </si>
  <si>
    <t>13 CHAMP PAVEAU TINQUEUX</t>
  </si>
  <si>
    <t>TOITURE</t>
  </si>
  <si>
    <t>REMPLACEMENT DE TERRASSE</t>
  </si>
  <si>
    <t>REMPLACEMENT GRAVILLON UISSARD</t>
  </si>
  <si>
    <t>7 ROBERT ADRIAN</t>
  </si>
  <si>
    <t>IMPERMÉABILISATION DU BALCON</t>
  </si>
  <si>
    <t>REPRISE DALLE BETON</t>
  </si>
  <si>
    <t>GAERAGE MAGELLAN</t>
  </si>
  <si>
    <t>DEMOUSSAGE TOITURES 11242.44ET REMPL EP ET DESCENTE</t>
  </si>
  <si>
    <t>3 MAGELLAN RCC ER.06759</t>
  </si>
  <si>
    <t>REPRISE INTEGARALE DE LA DOUCHE SUITE FUITE S/SOL</t>
  </si>
  <si>
    <t>REIMS - RUE DES AUGUSTINS (ER.27913)</t>
  </si>
  <si>
    <t>MEN.EXT. - REPORT - SOLDE TVX</t>
  </si>
  <si>
    <t>02/03:SOLDE TVX CDE 4908345</t>
  </si>
  <si>
    <t>MISE EN PLACE GRILLAGE 3D - SECURISATION 22 BALCONS</t>
  </si>
  <si>
    <t>TRAVAUX TERRASSEMENT POUR TRAITEMENT DES EP</t>
  </si>
  <si>
    <t>HABILLAGE PLACO</t>
  </si>
  <si>
    <t>92L/M ET K BARABTRE</t>
  </si>
  <si>
    <t>SUITE INFILTRATIONS MISE EN PLACE BAVETTE ZINC FAITAGE</t>
  </si>
  <si>
    <t>7 BLAISE PASCALE 03A ER.05317</t>
  </si>
  <si>
    <t>7 RENNER ER.19481</t>
  </si>
  <si>
    <t>REMPL MOTEURS VR 2 UNITES</t>
  </si>
  <si>
    <t>4D SIMON DAUPHINOT RCL ER.15400</t>
  </si>
  <si>
    <t>REMPL LAME VR ET COMMANDE 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</si>
</sst>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80"/>
  <sheetViews>
    <sheetView tabSelected="1" workbookViewId="0"/>
  </sheetViews>
  <sheetFormatPr baseColWidth="10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f ca="1">+ Cmde</f>
        <v>0</v>
      </c>
      <c r="C2">
        <f ca="1">+ Devis</f>
        <v>0</v>
      </c>
      <c r="D2" t="s">
        <v>26</v>
      </c>
      <c r="E2" t="s">
        <v>27</v>
      </c>
      <c r="F2">
        <v>412</v>
      </c>
      <c r="G2" t="s">
        <v>28</v>
      </c>
      <c r="H2" t="s">
        <v>29</v>
      </c>
      <c r="I2" t="s">
        <v>30</v>
      </c>
      <c r="J2" t="s">
        <v>26</v>
      </c>
      <c r="K2" t="s">
        <v>31</v>
      </c>
      <c r="L2" t="s">
        <v>32</v>
      </c>
      <c r="O2">
        <v>5021869</v>
      </c>
      <c r="P2">
        <v>6787</v>
      </c>
      <c r="Q2" t="s">
        <v>33</v>
      </c>
      <c r="R2">
        <v>1534.85</v>
      </c>
      <c r="S2">
        <v>1534.85</v>
      </c>
      <c r="T2">
        <v>0</v>
      </c>
      <c r="U2" t="s">
        <v>34</v>
      </c>
      <c r="V2" s="1">
        <v>46042</v>
      </c>
      <c r="W2" s="1">
        <v>46043</v>
      </c>
    </row>
    <row r="3" spans="1:26" x14ac:dyDescent="0.25">
      <c r="A3">
        <f ca="1">+ Cmde</f>
        <v>0</v>
      </c>
      <c r="C3">
        <f ca="1">+ Devis</f>
        <v>0</v>
      </c>
      <c r="D3" t="s">
        <v>35</v>
      </c>
      <c r="E3" t="s">
        <v>27</v>
      </c>
      <c r="F3">
        <v>45</v>
      </c>
      <c r="G3" t="s">
        <v>36</v>
      </c>
      <c r="H3" t="s">
        <v>37</v>
      </c>
      <c r="I3" t="s">
        <v>30</v>
      </c>
      <c r="J3" t="s">
        <v>35</v>
      </c>
      <c r="K3" t="s">
        <v>31</v>
      </c>
      <c r="L3" t="s">
        <v>38</v>
      </c>
      <c r="O3">
        <v>5021892</v>
      </c>
      <c r="P3">
        <v>6455</v>
      </c>
      <c r="Q3" t="s">
        <v>39</v>
      </c>
      <c r="R3">
        <v>1811.5</v>
      </c>
      <c r="T3">
        <v>1811.5</v>
      </c>
      <c r="U3" t="s">
        <v>40</v>
      </c>
      <c r="V3" s="1">
        <v>46047</v>
      </c>
      <c r="W3" s="1">
        <v>46052</v>
      </c>
    </row>
    <row r="4" spans="1:26" x14ac:dyDescent="0.25">
      <c r="A4">
        <f ca="1">+ Cmde</f>
        <v>0</v>
      </c>
      <c r="C4">
        <f ca="1">+ Devis</f>
        <v>0</v>
      </c>
      <c r="D4" t="s">
        <v>41</v>
      </c>
      <c r="E4" t="s">
        <v>27</v>
      </c>
      <c r="F4">
        <v>31</v>
      </c>
      <c r="G4" t="s">
        <v>42</v>
      </c>
      <c r="H4" t="s">
        <v>43</v>
      </c>
      <c r="I4" t="s">
        <v>44</v>
      </c>
      <c r="J4" t="s">
        <v>41</v>
      </c>
      <c r="K4" t="s">
        <v>31</v>
      </c>
      <c r="L4" t="s">
        <v>45</v>
      </c>
      <c r="O4">
        <v>5034246</v>
      </c>
      <c r="P4">
        <v>25204</v>
      </c>
      <c r="Q4" t="s">
        <v>46</v>
      </c>
      <c r="R4">
        <v>3063.41</v>
      </c>
      <c r="T4">
        <v>3063.41</v>
      </c>
      <c r="U4" t="s">
        <v>40</v>
      </c>
      <c r="V4" s="1">
        <v>46068</v>
      </c>
      <c r="W4" s="1">
        <v>46073</v>
      </c>
      <c r="Y4" t="s">
        <v>47</v>
      </c>
      <c r="Z4" s="1">
        <v>46190</v>
      </c>
    </row>
    <row r="5" spans="1:26" x14ac:dyDescent="0.25">
      <c r="A5">
        <f ca="1">+ Cmde</f>
        <v>0</v>
      </c>
      <c r="C5">
        <f ca="1">+ Devis</f>
        <v>0</v>
      </c>
      <c r="D5" t="s">
        <v>48</v>
      </c>
      <c r="E5" t="s">
        <v>49</v>
      </c>
      <c r="F5">
        <v>1618</v>
      </c>
      <c r="G5" t="s">
        <v>50</v>
      </c>
      <c r="H5" t="s">
        <v>51</v>
      </c>
      <c r="I5" t="s">
        <v>30</v>
      </c>
      <c r="J5" t="s">
        <v>48</v>
      </c>
      <c r="K5" t="s">
        <v>52</v>
      </c>
      <c r="L5" t="s">
        <v>53</v>
      </c>
      <c r="O5">
        <v>5040281</v>
      </c>
      <c r="P5">
        <v>5978</v>
      </c>
      <c r="Q5" t="s">
        <v>54</v>
      </c>
      <c r="R5">
        <v>2854.5</v>
      </c>
      <c r="S5">
        <v>2854.5</v>
      </c>
      <c r="T5">
        <v>0</v>
      </c>
      <c r="U5" t="s">
        <v>34</v>
      </c>
      <c r="V5" s="1">
        <v>46170</v>
      </c>
      <c r="W5" s="1">
        <v>46171</v>
      </c>
      <c r="X5" t="s">
        <v>55</v>
      </c>
    </row>
    <row r="6" spans="1:26" x14ac:dyDescent="0.25">
      <c r="A6" t="s">
        <v>56</v>
      </c>
    </row>
    <row r="7" spans="1:26" x14ac:dyDescent="0.25">
      <c r="A7">
        <f t="shared" ref="A7:A17" ca="1" si="0">+ Cmde</f>
        <v>0</v>
      </c>
      <c r="C7">
        <f t="shared" ref="C7:C17" ca="1" si="1">+ Devis</f>
        <v>0</v>
      </c>
      <c r="D7" t="s">
        <v>57</v>
      </c>
      <c r="E7" t="s">
        <v>58</v>
      </c>
      <c r="F7">
        <v>472</v>
      </c>
      <c r="G7" t="s">
        <v>59</v>
      </c>
      <c r="H7" t="s">
        <v>60</v>
      </c>
      <c r="I7" t="s">
        <v>44</v>
      </c>
      <c r="J7" t="s">
        <v>57</v>
      </c>
      <c r="K7" t="s">
        <v>61</v>
      </c>
      <c r="L7" t="s">
        <v>62</v>
      </c>
      <c r="M7">
        <v>7000</v>
      </c>
      <c r="N7">
        <v>211</v>
      </c>
      <c r="P7">
        <v>7891</v>
      </c>
      <c r="Q7" t="s">
        <v>63</v>
      </c>
      <c r="R7">
        <v>342.22</v>
      </c>
      <c r="S7">
        <v>342.22</v>
      </c>
      <c r="T7">
        <v>0</v>
      </c>
      <c r="U7" t="s">
        <v>34</v>
      </c>
    </row>
    <row r="8" spans="1:26" x14ac:dyDescent="0.25">
      <c r="A8">
        <f t="shared" ca="1" si="0"/>
        <v>0</v>
      </c>
      <c r="C8">
        <f t="shared" ca="1" si="1"/>
        <v>0</v>
      </c>
      <c r="D8" t="s">
        <v>26</v>
      </c>
      <c r="E8" t="s">
        <v>64</v>
      </c>
      <c r="F8">
        <v>179</v>
      </c>
      <c r="G8" t="s">
        <v>65</v>
      </c>
      <c r="H8" t="s">
        <v>66</v>
      </c>
      <c r="I8" t="s">
        <v>30</v>
      </c>
      <c r="J8" t="s">
        <v>26</v>
      </c>
      <c r="K8" t="s">
        <v>67</v>
      </c>
      <c r="L8" t="s">
        <v>68</v>
      </c>
      <c r="M8">
        <v>5000</v>
      </c>
      <c r="N8">
        <v>147</v>
      </c>
      <c r="O8">
        <v>5061874</v>
      </c>
      <c r="P8">
        <v>2450</v>
      </c>
      <c r="Q8" t="s">
        <v>69</v>
      </c>
      <c r="R8">
        <v>1457.5</v>
      </c>
      <c r="S8">
        <v>1457.5</v>
      </c>
      <c r="T8">
        <v>0</v>
      </c>
      <c r="U8" t="s">
        <v>34</v>
      </c>
      <c r="V8" s="1">
        <v>46195</v>
      </c>
      <c r="W8" s="1">
        <v>46196</v>
      </c>
    </row>
    <row r="9" spans="1:26" x14ac:dyDescent="0.25">
      <c r="A9">
        <f t="shared" ca="1" si="0"/>
        <v>0</v>
      </c>
      <c r="C9">
        <f t="shared" ca="1" si="1"/>
        <v>0</v>
      </c>
      <c r="D9" t="s">
        <v>35</v>
      </c>
      <c r="E9" t="s">
        <v>27</v>
      </c>
      <c r="F9">
        <v>181</v>
      </c>
      <c r="G9" t="s">
        <v>70</v>
      </c>
      <c r="H9" t="s">
        <v>71</v>
      </c>
      <c r="I9" t="s">
        <v>30</v>
      </c>
      <c r="J9" t="s">
        <v>35</v>
      </c>
      <c r="K9" t="s">
        <v>31</v>
      </c>
      <c r="L9" t="s">
        <v>72</v>
      </c>
      <c r="M9">
        <v>3000</v>
      </c>
      <c r="N9">
        <v>393</v>
      </c>
      <c r="O9">
        <v>5067400</v>
      </c>
      <c r="P9">
        <v>1757</v>
      </c>
      <c r="Q9" t="s">
        <v>73</v>
      </c>
      <c r="R9">
        <v>2360.29</v>
      </c>
      <c r="S9">
        <v>2360.29</v>
      </c>
      <c r="T9">
        <v>0</v>
      </c>
      <c r="U9" t="s">
        <v>34</v>
      </c>
      <c r="V9" s="1">
        <v>46157</v>
      </c>
      <c r="W9" s="1">
        <v>46172</v>
      </c>
      <c r="Y9" t="s">
        <v>47</v>
      </c>
      <c r="Z9" s="1">
        <v>46142</v>
      </c>
    </row>
    <row r="10" spans="1:26" x14ac:dyDescent="0.25">
      <c r="A10">
        <f t="shared" ca="1" si="0"/>
        <v>0</v>
      </c>
      <c r="C10">
        <f t="shared" ca="1" si="1"/>
        <v>0</v>
      </c>
      <c r="D10" t="s">
        <v>74</v>
      </c>
      <c r="E10" t="s">
        <v>27</v>
      </c>
      <c r="F10">
        <v>328</v>
      </c>
      <c r="G10" t="s">
        <v>75</v>
      </c>
      <c r="H10" t="s">
        <v>76</v>
      </c>
      <c r="I10" t="s">
        <v>30</v>
      </c>
      <c r="J10" t="s">
        <v>74</v>
      </c>
      <c r="K10" t="s">
        <v>31</v>
      </c>
      <c r="L10" t="s">
        <v>77</v>
      </c>
      <c r="M10">
        <v>10000</v>
      </c>
      <c r="N10">
        <v>394</v>
      </c>
      <c r="O10">
        <v>5050177</v>
      </c>
      <c r="P10">
        <v>8598</v>
      </c>
      <c r="Q10" t="s">
        <v>78</v>
      </c>
      <c r="R10">
        <v>3278</v>
      </c>
      <c r="T10">
        <v>3278</v>
      </c>
      <c r="U10" t="s">
        <v>40</v>
      </c>
      <c r="V10" s="1">
        <v>46127</v>
      </c>
      <c r="W10" s="1">
        <v>46143</v>
      </c>
    </row>
    <row r="11" spans="1:26" x14ac:dyDescent="0.25">
      <c r="A11">
        <f t="shared" ca="1" si="0"/>
        <v>0</v>
      </c>
      <c r="C11">
        <f t="shared" ca="1" si="1"/>
        <v>0</v>
      </c>
      <c r="D11" t="s">
        <v>79</v>
      </c>
      <c r="E11" t="s">
        <v>27</v>
      </c>
      <c r="F11">
        <v>1246</v>
      </c>
      <c r="G11" t="s">
        <v>80</v>
      </c>
      <c r="H11" t="s">
        <v>81</v>
      </c>
      <c r="I11" t="s">
        <v>30</v>
      </c>
      <c r="J11" t="s">
        <v>79</v>
      </c>
      <c r="K11" t="s">
        <v>31</v>
      </c>
      <c r="L11" t="s">
        <v>82</v>
      </c>
      <c r="M11">
        <v>8000</v>
      </c>
      <c r="N11">
        <v>395</v>
      </c>
      <c r="O11">
        <v>5011679</v>
      </c>
      <c r="P11">
        <v>32</v>
      </c>
      <c r="Q11" t="s">
        <v>83</v>
      </c>
      <c r="R11">
        <v>1237.1099999999999</v>
      </c>
      <c r="T11">
        <v>1237.1099999999999</v>
      </c>
      <c r="U11" t="s">
        <v>34</v>
      </c>
      <c r="V11" s="1">
        <v>46020</v>
      </c>
      <c r="W11" s="1">
        <v>46385</v>
      </c>
    </row>
    <row r="12" spans="1:26" x14ac:dyDescent="0.25">
      <c r="A12">
        <f t="shared" ca="1" si="0"/>
        <v>0</v>
      </c>
      <c r="C12">
        <f t="shared" ca="1" si="1"/>
        <v>0</v>
      </c>
      <c r="D12" t="s">
        <v>84</v>
      </c>
      <c r="E12" t="s">
        <v>27</v>
      </c>
      <c r="F12">
        <v>300</v>
      </c>
      <c r="G12" t="s">
        <v>85</v>
      </c>
      <c r="H12" t="s">
        <v>86</v>
      </c>
      <c r="I12" t="s">
        <v>30</v>
      </c>
      <c r="J12" t="s">
        <v>84</v>
      </c>
      <c r="K12" t="s">
        <v>31</v>
      </c>
      <c r="L12" t="s">
        <v>87</v>
      </c>
      <c r="M12">
        <v>7000</v>
      </c>
      <c r="N12">
        <v>396</v>
      </c>
      <c r="O12">
        <v>5068603</v>
      </c>
      <c r="P12">
        <v>6787</v>
      </c>
      <c r="Q12" t="s">
        <v>33</v>
      </c>
      <c r="R12">
        <v>11545.93</v>
      </c>
      <c r="S12">
        <v>11545.93</v>
      </c>
      <c r="T12">
        <v>0</v>
      </c>
      <c r="U12" t="s">
        <v>34</v>
      </c>
      <c r="V12" s="1">
        <v>46174</v>
      </c>
      <c r="W12" s="1">
        <v>46203</v>
      </c>
    </row>
    <row r="13" spans="1:26" x14ac:dyDescent="0.25">
      <c r="A13">
        <f t="shared" ca="1" si="0"/>
        <v>0</v>
      </c>
      <c r="C13">
        <f t="shared" ca="1" si="1"/>
        <v>0</v>
      </c>
      <c r="D13" t="s">
        <v>88</v>
      </c>
      <c r="E13" t="s">
        <v>27</v>
      </c>
      <c r="F13">
        <v>45</v>
      </c>
      <c r="G13" t="s">
        <v>36</v>
      </c>
      <c r="H13" t="s">
        <v>89</v>
      </c>
      <c r="I13" t="s">
        <v>30</v>
      </c>
      <c r="J13" t="s">
        <v>88</v>
      </c>
      <c r="K13" t="s">
        <v>31</v>
      </c>
      <c r="L13" t="s">
        <v>90</v>
      </c>
      <c r="M13">
        <v>20000</v>
      </c>
      <c r="N13">
        <v>398</v>
      </c>
      <c r="O13">
        <v>5021878</v>
      </c>
      <c r="P13">
        <v>4146</v>
      </c>
      <c r="Q13" t="s">
        <v>91</v>
      </c>
      <c r="R13">
        <v>23416.14</v>
      </c>
      <c r="S13">
        <v>23416.14</v>
      </c>
      <c r="T13">
        <v>0</v>
      </c>
      <c r="U13" t="s">
        <v>34</v>
      </c>
      <c r="V13" s="1">
        <v>46104</v>
      </c>
      <c r="W13" s="1">
        <v>46128</v>
      </c>
    </row>
    <row r="14" spans="1:26" x14ac:dyDescent="0.25">
      <c r="A14">
        <f t="shared" ca="1" si="0"/>
        <v>0</v>
      </c>
      <c r="C14">
        <f t="shared" ca="1" si="1"/>
        <v>0</v>
      </c>
      <c r="D14" t="s">
        <v>74</v>
      </c>
      <c r="E14" t="s">
        <v>27</v>
      </c>
      <c r="F14">
        <v>194</v>
      </c>
      <c r="G14" t="s">
        <v>70</v>
      </c>
      <c r="H14" t="s">
        <v>92</v>
      </c>
      <c r="I14" t="s">
        <v>30</v>
      </c>
      <c r="J14" t="s">
        <v>74</v>
      </c>
      <c r="K14" t="s">
        <v>31</v>
      </c>
      <c r="L14" t="s">
        <v>93</v>
      </c>
      <c r="M14">
        <v>3000</v>
      </c>
      <c r="N14">
        <v>400</v>
      </c>
      <c r="O14">
        <v>5066449</v>
      </c>
      <c r="P14">
        <v>4921</v>
      </c>
      <c r="Q14" t="s">
        <v>94</v>
      </c>
      <c r="R14">
        <v>11895.72</v>
      </c>
      <c r="T14">
        <v>11895.72</v>
      </c>
      <c r="U14" t="s">
        <v>40</v>
      </c>
      <c r="V14" s="1">
        <v>46174</v>
      </c>
      <c r="W14" s="1">
        <v>46204</v>
      </c>
    </row>
    <row r="15" spans="1:26" x14ac:dyDescent="0.25">
      <c r="A15">
        <f t="shared" ca="1" si="0"/>
        <v>0</v>
      </c>
      <c r="C15">
        <f t="shared" ca="1" si="1"/>
        <v>0</v>
      </c>
      <c r="D15" t="s">
        <v>95</v>
      </c>
      <c r="E15" t="s">
        <v>27</v>
      </c>
      <c r="F15">
        <v>300</v>
      </c>
      <c r="G15" t="s">
        <v>85</v>
      </c>
      <c r="H15" t="s">
        <v>96</v>
      </c>
      <c r="I15" t="s">
        <v>30</v>
      </c>
      <c r="J15" t="s">
        <v>95</v>
      </c>
      <c r="K15" t="s">
        <v>31</v>
      </c>
      <c r="L15" t="s">
        <v>97</v>
      </c>
      <c r="M15">
        <v>11000</v>
      </c>
      <c r="N15">
        <v>401</v>
      </c>
      <c r="O15">
        <v>5091035</v>
      </c>
      <c r="P15">
        <v>153</v>
      </c>
      <c r="Q15" t="s">
        <v>98</v>
      </c>
      <c r="R15">
        <v>8297.7000000000007</v>
      </c>
      <c r="T15">
        <v>8297.7000000000007</v>
      </c>
      <c r="U15" t="s">
        <v>40</v>
      </c>
      <c r="V15" s="1">
        <v>46249</v>
      </c>
      <c r="W15" s="1">
        <v>46295</v>
      </c>
      <c r="X15" t="s">
        <v>99</v>
      </c>
    </row>
    <row r="16" spans="1:26" x14ac:dyDescent="0.25">
      <c r="A16">
        <f t="shared" ca="1" si="0"/>
        <v>0</v>
      </c>
      <c r="C16">
        <f t="shared" ca="1" si="1"/>
        <v>0</v>
      </c>
      <c r="D16" t="s">
        <v>26</v>
      </c>
      <c r="E16" t="s">
        <v>27</v>
      </c>
      <c r="F16">
        <v>491</v>
      </c>
      <c r="G16" t="s">
        <v>42</v>
      </c>
      <c r="H16" t="s">
        <v>100</v>
      </c>
      <c r="I16" t="s">
        <v>30</v>
      </c>
      <c r="J16" t="s">
        <v>26</v>
      </c>
      <c r="K16" t="s">
        <v>31</v>
      </c>
      <c r="L16" t="s">
        <v>101</v>
      </c>
      <c r="M16">
        <v>21000</v>
      </c>
      <c r="N16">
        <v>404</v>
      </c>
      <c r="O16">
        <v>5081977</v>
      </c>
      <c r="P16">
        <v>81</v>
      </c>
      <c r="Q16" t="s">
        <v>102</v>
      </c>
      <c r="R16">
        <v>32126.93</v>
      </c>
      <c r="T16">
        <v>32126.93</v>
      </c>
      <c r="U16" t="s">
        <v>40</v>
      </c>
      <c r="V16" s="1">
        <v>46266</v>
      </c>
      <c r="W16" s="1">
        <v>46327</v>
      </c>
      <c r="X16" t="s">
        <v>103</v>
      </c>
      <c r="Y16" t="s">
        <v>104</v>
      </c>
      <c r="Z16" s="1">
        <v>46203</v>
      </c>
    </row>
    <row r="17" spans="1:26" x14ac:dyDescent="0.25">
      <c r="A17">
        <f t="shared" ca="1" si="0"/>
        <v>0</v>
      </c>
      <c r="C17">
        <f t="shared" ca="1" si="1"/>
        <v>0</v>
      </c>
      <c r="D17" t="s">
        <v>88</v>
      </c>
      <c r="E17" t="s">
        <v>27</v>
      </c>
      <c r="F17">
        <v>300</v>
      </c>
      <c r="G17" t="s">
        <v>85</v>
      </c>
      <c r="H17" t="s">
        <v>105</v>
      </c>
      <c r="I17" t="s">
        <v>30</v>
      </c>
      <c r="J17" t="s">
        <v>88</v>
      </c>
      <c r="K17" t="s">
        <v>31</v>
      </c>
      <c r="L17" t="s">
        <v>106</v>
      </c>
      <c r="M17">
        <v>15000</v>
      </c>
      <c r="N17">
        <v>406</v>
      </c>
      <c r="O17">
        <v>5102763</v>
      </c>
      <c r="P17">
        <v>4921</v>
      </c>
      <c r="Q17" t="s">
        <v>94</v>
      </c>
      <c r="R17">
        <v>19353.41</v>
      </c>
      <c r="T17">
        <v>19353.41</v>
      </c>
      <c r="U17" t="s">
        <v>107</v>
      </c>
      <c r="V17" s="1">
        <v>46296</v>
      </c>
      <c r="W17" s="1">
        <v>46327</v>
      </c>
      <c r="X17" t="s">
        <v>108</v>
      </c>
    </row>
    <row r="19" spans="1:26" x14ac:dyDescent="0.25">
      <c r="A19">
        <f t="shared" ref="A19:A32" ca="1" si="2">+ Cmde</f>
        <v>0</v>
      </c>
      <c r="C19">
        <f t="shared" ref="C19:C32" ca="1" si="3">+ Devis</f>
        <v>0</v>
      </c>
      <c r="D19" t="s">
        <v>88</v>
      </c>
      <c r="E19" t="s">
        <v>27</v>
      </c>
      <c r="F19">
        <v>27</v>
      </c>
      <c r="G19" t="s">
        <v>70</v>
      </c>
      <c r="H19" t="s">
        <v>109</v>
      </c>
      <c r="I19" t="s">
        <v>30</v>
      </c>
      <c r="J19" t="s">
        <v>88</v>
      </c>
      <c r="K19" t="s">
        <v>31</v>
      </c>
      <c r="L19" t="s">
        <v>110</v>
      </c>
      <c r="M19">
        <v>10000</v>
      </c>
      <c r="N19">
        <v>407</v>
      </c>
      <c r="O19">
        <v>5042774</v>
      </c>
      <c r="P19">
        <v>25204</v>
      </c>
      <c r="Q19" t="s">
        <v>46</v>
      </c>
      <c r="R19">
        <v>5777.86</v>
      </c>
      <c r="S19">
        <v>5777.86</v>
      </c>
      <c r="T19">
        <v>0</v>
      </c>
      <c r="U19" t="s">
        <v>34</v>
      </c>
      <c r="V19" s="1">
        <v>46112</v>
      </c>
      <c r="W19" s="1">
        <v>46157</v>
      </c>
    </row>
    <row r="20" spans="1:26" x14ac:dyDescent="0.25">
      <c r="A20">
        <f t="shared" ca="1" si="2"/>
        <v>0</v>
      </c>
      <c r="C20">
        <f t="shared" ca="1" si="3"/>
        <v>0</v>
      </c>
      <c r="D20" t="s">
        <v>35</v>
      </c>
      <c r="E20" t="s">
        <v>27</v>
      </c>
      <c r="F20">
        <v>27</v>
      </c>
      <c r="G20" t="s">
        <v>70</v>
      </c>
      <c r="H20" t="s">
        <v>111</v>
      </c>
      <c r="I20" t="s">
        <v>30</v>
      </c>
      <c r="J20" t="s">
        <v>35</v>
      </c>
      <c r="K20" t="s">
        <v>31</v>
      </c>
      <c r="L20" t="s">
        <v>112</v>
      </c>
      <c r="M20">
        <v>20000</v>
      </c>
      <c r="N20">
        <v>408</v>
      </c>
      <c r="O20">
        <v>5029098</v>
      </c>
      <c r="P20">
        <v>3718</v>
      </c>
      <c r="Q20" t="s">
        <v>113</v>
      </c>
      <c r="R20">
        <v>26984.65</v>
      </c>
      <c r="S20">
        <v>26984.65</v>
      </c>
      <c r="T20">
        <v>0</v>
      </c>
      <c r="U20" t="s">
        <v>34</v>
      </c>
      <c r="V20" s="1">
        <v>46068</v>
      </c>
      <c r="W20" s="1">
        <v>46096</v>
      </c>
      <c r="Y20" t="s">
        <v>47</v>
      </c>
      <c r="Z20" s="1">
        <v>46063</v>
      </c>
    </row>
    <row r="21" spans="1:26" x14ac:dyDescent="0.25">
      <c r="A21">
        <f t="shared" ca="1" si="2"/>
        <v>0</v>
      </c>
      <c r="C21">
        <f t="shared" ca="1" si="3"/>
        <v>0</v>
      </c>
      <c r="D21" t="s">
        <v>35</v>
      </c>
      <c r="E21" t="s">
        <v>27</v>
      </c>
      <c r="F21">
        <v>130</v>
      </c>
      <c r="G21" t="s">
        <v>114</v>
      </c>
      <c r="H21" t="s">
        <v>115</v>
      </c>
      <c r="I21" t="s">
        <v>30</v>
      </c>
      <c r="J21" t="s">
        <v>35</v>
      </c>
      <c r="K21" t="s">
        <v>31</v>
      </c>
      <c r="L21" t="s">
        <v>116</v>
      </c>
      <c r="M21">
        <v>5000</v>
      </c>
      <c r="N21">
        <v>409</v>
      </c>
      <c r="O21">
        <v>5021647</v>
      </c>
      <c r="P21">
        <v>4146</v>
      </c>
      <c r="Q21" t="s">
        <v>91</v>
      </c>
      <c r="R21">
        <v>8405.7999999999993</v>
      </c>
      <c r="S21">
        <v>8405.7999999999993</v>
      </c>
      <c r="T21">
        <v>0</v>
      </c>
      <c r="U21" t="s">
        <v>34</v>
      </c>
      <c r="V21" s="1">
        <v>46041</v>
      </c>
      <c r="W21" s="1">
        <v>46047</v>
      </c>
    </row>
    <row r="22" spans="1:26" x14ac:dyDescent="0.25">
      <c r="A22">
        <f t="shared" ca="1" si="2"/>
        <v>0</v>
      </c>
      <c r="C22">
        <f t="shared" ca="1" si="3"/>
        <v>0</v>
      </c>
      <c r="D22" t="s">
        <v>26</v>
      </c>
      <c r="E22" t="s">
        <v>27</v>
      </c>
      <c r="F22">
        <v>244</v>
      </c>
      <c r="G22" t="s">
        <v>28</v>
      </c>
      <c r="H22" t="s">
        <v>117</v>
      </c>
      <c r="I22" t="s">
        <v>30</v>
      </c>
      <c r="J22" t="s">
        <v>26</v>
      </c>
      <c r="K22" t="s">
        <v>31</v>
      </c>
      <c r="L22" t="s">
        <v>118</v>
      </c>
      <c r="M22">
        <v>8000</v>
      </c>
      <c r="N22">
        <v>411</v>
      </c>
      <c r="O22">
        <v>5079791</v>
      </c>
      <c r="P22">
        <v>81</v>
      </c>
      <c r="Q22" t="s">
        <v>102</v>
      </c>
      <c r="R22">
        <v>8001.53</v>
      </c>
      <c r="T22">
        <v>8001.53</v>
      </c>
      <c r="U22" t="s">
        <v>40</v>
      </c>
      <c r="V22" s="1">
        <v>46266</v>
      </c>
      <c r="W22" s="1">
        <v>46296</v>
      </c>
      <c r="X22" t="s">
        <v>103</v>
      </c>
      <c r="Y22" t="s">
        <v>47</v>
      </c>
      <c r="Z22" s="1">
        <v>46196</v>
      </c>
    </row>
    <row r="23" spans="1:26" x14ac:dyDescent="0.25">
      <c r="A23">
        <f t="shared" ca="1" si="2"/>
        <v>0</v>
      </c>
      <c r="C23">
        <f t="shared" ca="1" si="3"/>
        <v>0</v>
      </c>
      <c r="D23" t="s">
        <v>26</v>
      </c>
      <c r="E23" t="s">
        <v>27</v>
      </c>
      <c r="F23">
        <v>194</v>
      </c>
      <c r="G23" t="s">
        <v>70</v>
      </c>
      <c r="H23" t="s">
        <v>119</v>
      </c>
      <c r="I23" t="s">
        <v>30</v>
      </c>
      <c r="J23" t="s">
        <v>26</v>
      </c>
      <c r="K23" t="s">
        <v>31</v>
      </c>
      <c r="L23" t="s">
        <v>120</v>
      </c>
      <c r="M23">
        <v>17000</v>
      </c>
      <c r="N23">
        <v>412</v>
      </c>
      <c r="O23">
        <v>5039990</v>
      </c>
      <c r="P23">
        <v>7431</v>
      </c>
      <c r="Q23" t="s">
        <v>121</v>
      </c>
      <c r="R23">
        <v>5416.3</v>
      </c>
      <c r="T23">
        <v>5416.3</v>
      </c>
      <c r="U23" t="s">
        <v>40</v>
      </c>
      <c r="V23" s="1">
        <v>46127</v>
      </c>
      <c r="W23" s="1">
        <v>46142</v>
      </c>
    </row>
    <row r="24" spans="1:26" x14ac:dyDescent="0.25">
      <c r="A24">
        <f t="shared" ca="1" si="2"/>
        <v>0</v>
      </c>
      <c r="C24">
        <f t="shared" ca="1" si="3"/>
        <v>0</v>
      </c>
      <c r="D24" t="s">
        <v>48</v>
      </c>
      <c r="E24" t="s">
        <v>27</v>
      </c>
      <c r="F24">
        <v>204</v>
      </c>
      <c r="G24" t="s">
        <v>85</v>
      </c>
      <c r="H24" t="s">
        <v>122</v>
      </c>
      <c r="I24" t="s">
        <v>30</v>
      </c>
      <c r="J24" t="s">
        <v>48</v>
      </c>
      <c r="K24" t="s">
        <v>31</v>
      </c>
      <c r="L24" t="s">
        <v>123</v>
      </c>
      <c r="M24">
        <v>10000</v>
      </c>
      <c r="N24">
        <v>413</v>
      </c>
      <c r="X24" t="s">
        <v>124</v>
      </c>
    </row>
    <row r="25" spans="1:26" x14ac:dyDescent="0.25">
      <c r="A25">
        <f t="shared" ca="1" si="2"/>
        <v>0</v>
      </c>
      <c r="C25">
        <f t="shared" ca="1" si="3"/>
        <v>0</v>
      </c>
      <c r="D25" t="s">
        <v>26</v>
      </c>
      <c r="E25" t="s">
        <v>27</v>
      </c>
      <c r="F25">
        <v>205</v>
      </c>
      <c r="G25" t="s">
        <v>75</v>
      </c>
      <c r="H25" t="s">
        <v>125</v>
      </c>
      <c r="I25" t="s">
        <v>30</v>
      </c>
      <c r="J25" t="s">
        <v>26</v>
      </c>
      <c r="K25" t="s">
        <v>31</v>
      </c>
      <c r="L25" t="s">
        <v>126</v>
      </c>
      <c r="M25">
        <v>5000</v>
      </c>
      <c r="N25">
        <v>414</v>
      </c>
      <c r="X25" t="s">
        <v>127</v>
      </c>
    </row>
    <row r="26" spans="1:26" x14ac:dyDescent="0.25">
      <c r="A26">
        <f t="shared" ca="1" si="2"/>
        <v>0</v>
      </c>
      <c r="C26">
        <f t="shared" ca="1" si="3"/>
        <v>0</v>
      </c>
      <c r="D26" t="s">
        <v>26</v>
      </c>
      <c r="E26" t="s">
        <v>27</v>
      </c>
      <c r="F26">
        <v>285</v>
      </c>
      <c r="G26" t="s">
        <v>114</v>
      </c>
      <c r="H26" t="s">
        <v>128</v>
      </c>
      <c r="I26" t="s">
        <v>30</v>
      </c>
      <c r="J26" t="s">
        <v>26</v>
      </c>
      <c r="K26" t="s">
        <v>31</v>
      </c>
      <c r="L26" t="s">
        <v>129</v>
      </c>
      <c r="M26">
        <v>5000</v>
      </c>
      <c r="N26">
        <v>416</v>
      </c>
      <c r="O26">
        <v>5028383</v>
      </c>
      <c r="P26">
        <v>7431</v>
      </c>
      <c r="Q26" t="s">
        <v>121</v>
      </c>
      <c r="R26">
        <v>1988.14</v>
      </c>
      <c r="T26">
        <v>1988.14</v>
      </c>
      <c r="U26" t="s">
        <v>40</v>
      </c>
      <c r="V26" s="1">
        <v>46127</v>
      </c>
      <c r="W26" s="1">
        <v>46142</v>
      </c>
    </row>
    <row r="27" spans="1:26" x14ac:dyDescent="0.25">
      <c r="A27">
        <f t="shared" ca="1" si="2"/>
        <v>0</v>
      </c>
      <c r="C27">
        <f t="shared" ca="1" si="3"/>
        <v>0</v>
      </c>
      <c r="D27" t="s">
        <v>26</v>
      </c>
      <c r="E27" t="s">
        <v>27</v>
      </c>
      <c r="F27">
        <v>604</v>
      </c>
      <c r="G27" t="s">
        <v>70</v>
      </c>
      <c r="H27" t="s">
        <v>130</v>
      </c>
      <c r="I27" t="s">
        <v>30</v>
      </c>
      <c r="J27" t="s">
        <v>26</v>
      </c>
      <c r="K27" t="s">
        <v>31</v>
      </c>
      <c r="L27" t="s">
        <v>131</v>
      </c>
      <c r="M27">
        <v>7000</v>
      </c>
      <c r="N27">
        <v>417</v>
      </c>
      <c r="O27">
        <v>5042328</v>
      </c>
      <c r="P27">
        <v>5197</v>
      </c>
      <c r="Q27" t="s">
        <v>132</v>
      </c>
      <c r="R27">
        <v>7535</v>
      </c>
      <c r="S27">
        <v>7535</v>
      </c>
      <c r="T27">
        <v>0</v>
      </c>
      <c r="U27" t="s">
        <v>34</v>
      </c>
      <c r="V27" s="1">
        <v>46143</v>
      </c>
      <c r="W27" s="1">
        <v>46174</v>
      </c>
      <c r="Y27" t="s">
        <v>47</v>
      </c>
      <c r="Z27" s="1">
        <v>46119</v>
      </c>
    </row>
    <row r="28" spans="1:26" x14ac:dyDescent="0.25">
      <c r="A28">
        <f t="shared" ca="1" si="2"/>
        <v>0</v>
      </c>
      <c r="C28">
        <f t="shared" ca="1" si="3"/>
        <v>0</v>
      </c>
      <c r="D28" t="s">
        <v>26</v>
      </c>
      <c r="E28" t="s">
        <v>27</v>
      </c>
      <c r="F28">
        <v>356</v>
      </c>
      <c r="G28" t="s">
        <v>28</v>
      </c>
      <c r="H28" t="s">
        <v>133</v>
      </c>
      <c r="I28" t="s">
        <v>30</v>
      </c>
      <c r="J28" t="s">
        <v>26</v>
      </c>
      <c r="K28" t="s">
        <v>31</v>
      </c>
      <c r="L28" t="s">
        <v>134</v>
      </c>
      <c r="M28">
        <v>4000</v>
      </c>
      <c r="N28">
        <v>418</v>
      </c>
      <c r="O28">
        <v>5033564</v>
      </c>
      <c r="P28">
        <v>81</v>
      </c>
      <c r="Q28" t="s">
        <v>102</v>
      </c>
      <c r="R28">
        <v>6156.38</v>
      </c>
      <c r="T28">
        <v>6156.38</v>
      </c>
      <c r="U28" t="s">
        <v>40</v>
      </c>
      <c r="V28" s="1">
        <v>46143</v>
      </c>
      <c r="W28" s="1">
        <v>46204</v>
      </c>
      <c r="Y28" t="s">
        <v>104</v>
      </c>
      <c r="Z28" s="1">
        <v>46196</v>
      </c>
    </row>
    <row r="29" spans="1:26" x14ac:dyDescent="0.25">
      <c r="A29">
        <f t="shared" ca="1" si="2"/>
        <v>0</v>
      </c>
      <c r="C29">
        <f t="shared" ca="1" si="3"/>
        <v>0</v>
      </c>
      <c r="D29" t="s">
        <v>26</v>
      </c>
      <c r="E29" t="s">
        <v>27</v>
      </c>
      <c r="F29">
        <v>194</v>
      </c>
      <c r="G29" t="s">
        <v>70</v>
      </c>
      <c r="H29" t="s">
        <v>135</v>
      </c>
      <c r="I29" t="s">
        <v>30</v>
      </c>
      <c r="J29" t="s">
        <v>26</v>
      </c>
      <c r="K29" t="s">
        <v>31</v>
      </c>
      <c r="L29" t="s">
        <v>136</v>
      </c>
      <c r="M29">
        <v>15000</v>
      </c>
      <c r="N29">
        <v>419</v>
      </c>
      <c r="O29">
        <v>5028374</v>
      </c>
      <c r="P29">
        <v>7431</v>
      </c>
      <c r="Q29" t="s">
        <v>121</v>
      </c>
      <c r="R29">
        <v>14652</v>
      </c>
      <c r="T29">
        <v>14652</v>
      </c>
      <c r="U29" t="s">
        <v>40</v>
      </c>
      <c r="V29" s="1">
        <v>46127</v>
      </c>
      <c r="W29" s="1">
        <v>46174</v>
      </c>
    </row>
    <row r="30" spans="1:26" x14ac:dyDescent="0.25">
      <c r="A30">
        <f t="shared" ca="1" si="2"/>
        <v>0</v>
      </c>
      <c r="C30">
        <f t="shared" ca="1" si="3"/>
        <v>0</v>
      </c>
      <c r="D30" t="s">
        <v>26</v>
      </c>
      <c r="E30" t="s">
        <v>27</v>
      </c>
      <c r="F30">
        <v>300</v>
      </c>
      <c r="G30" t="s">
        <v>85</v>
      </c>
      <c r="H30" t="s">
        <v>137</v>
      </c>
      <c r="I30" t="s">
        <v>30</v>
      </c>
      <c r="J30" t="s">
        <v>26</v>
      </c>
      <c r="K30" t="s">
        <v>31</v>
      </c>
      <c r="L30" t="s">
        <v>138</v>
      </c>
      <c r="M30">
        <v>6000</v>
      </c>
      <c r="N30">
        <v>420</v>
      </c>
      <c r="X30" t="s">
        <v>139</v>
      </c>
    </row>
    <row r="31" spans="1:26" x14ac:dyDescent="0.25">
      <c r="A31">
        <f t="shared" ca="1" si="2"/>
        <v>0</v>
      </c>
      <c r="C31">
        <f t="shared" ca="1" si="3"/>
        <v>0</v>
      </c>
      <c r="D31" t="s">
        <v>26</v>
      </c>
      <c r="E31" t="s">
        <v>27</v>
      </c>
      <c r="F31">
        <v>194</v>
      </c>
      <c r="G31" t="s">
        <v>70</v>
      </c>
      <c r="H31" t="s">
        <v>92</v>
      </c>
      <c r="I31" t="s">
        <v>30</v>
      </c>
      <c r="J31" t="s">
        <v>26</v>
      </c>
      <c r="K31" t="s">
        <v>31</v>
      </c>
      <c r="L31" t="s">
        <v>140</v>
      </c>
      <c r="M31">
        <v>5000</v>
      </c>
      <c r="N31">
        <v>421</v>
      </c>
      <c r="O31">
        <v>5033647</v>
      </c>
      <c r="P31">
        <v>81</v>
      </c>
      <c r="Q31" t="s">
        <v>102</v>
      </c>
      <c r="R31">
        <v>15830.69</v>
      </c>
      <c r="T31">
        <v>15830.69</v>
      </c>
      <c r="U31" t="s">
        <v>40</v>
      </c>
      <c r="V31" s="1">
        <v>46174</v>
      </c>
      <c r="W31" s="1">
        <v>46235</v>
      </c>
    </row>
    <row r="32" spans="1:26" x14ac:dyDescent="0.25">
      <c r="A32">
        <f t="shared" ca="1" si="2"/>
        <v>0</v>
      </c>
      <c r="C32">
        <f t="shared" ca="1" si="3"/>
        <v>0</v>
      </c>
      <c r="D32" t="s">
        <v>48</v>
      </c>
      <c r="E32" t="s">
        <v>27</v>
      </c>
      <c r="F32">
        <v>45</v>
      </c>
      <c r="G32" t="s">
        <v>36</v>
      </c>
      <c r="H32" t="s">
        <v>141</v>
      </c>
    </row>
    <row r="33" spans="1:26" x14ac:dyDescent="0.25">
      <c r="A33" t="s">
        <v>142</v>
      </c>
    </row>
    <row r="34" spans="1:26" x14ac:dyDescent="0.25">
      <c r="A34" t="s">
        <v>143</v>
      </c>
      <c r="B34" t="s">
        <v>30</v>
      </c>
      <c r="C34" t="s">
        <v>48</v>
      </c>
      <c r="D34" t="s">
        <v>31</v>
      </c>
      <c r="E34" t="s">
        <v>144</v>
      </c>
      <c r="F34">
        <v>14000</v>
      </c>
      <c r="G34">
        <v>422</v>
      </c>
      <c r="H34">
        <v>5108069</v>
      </c>
      <c r="I34">
        <v>81</v>
      </c>
      <c r="J34" t="s">
        <v>102</v>
      </c>
      <c r="K34">
        <v>1940.5</v>
      </c>
      <c r="M34">
        <v>1940.5</v>
      </c>
      <c r="N34" t="s">
        <v>40</v>
      </c>
      <c r="O34" s="1">
        <v>46266</v>
      </c>
      <c r="P34" s="1">
        <v>46280</v>
      </c>
      <c r="Q34" t="s">
        <v>103</v>
      </c>
    </row>
    <row r="35" spans="1:26" x14ac:dyDescent="0.25">
      <c r="A35">
        <f t="shared" ref="A35:A58" ca="1" si="4">+ Cmde</f>
        <v>0</v>
      </c>
      <c r="C35">
        <f t="shared" ref="C35:C58" ca="1" si="5">+ Devis</f>
        <v>0</v>
      </c>
      <c r="D35" t="s">
        <v>26</v>
      </c>
      <c r="E35" t="s">
        <v>27</v>
      </c>
      <c r="F35">
        <v>233</v>
      </c>
      <c r="G35" t="s">
        <v>75</v>
      </c>
      <c r="H35" t="s">
        <v>145</v>
      </c>
      <c r="I35" t="s">
        <v>30</v>
      </c>
      <c r="J35" t="s">
        <v>26</v>
      </c>
      <c r="K35" t="s">
        <v>31</v>
      </c>
      <c r="L35" t="s">
        <v>146</v>
      </c>
      <c r="M35">
        <v>10000</v>
      </c>
      <c r="N35">
        <v>423</v>
      </c>
      <c r="O35">
        <v>5020105</v>
      </c>
      <c r="P35">
        <v>5197</v>
      </c>
      <c r="Q35" t="s">
        <v>132</v>
      </c>
      <c r="R35">
        <v>9383</v>
      </c>
      <c r="S35">
        <v>9383</v>
      </c>
      <c r="T35">
        <v>0</v>
      </c>
      <c r="U35" t="s">
        <v>34</v>
      </c>
      <c r="V35" s="1">
        <v>46143</v>
      </c>
      <c r="W35" s="1">
        <v>46157</v>
      </c>
    </row>
    <row r="36" spans="1:26" x14ac:dyDescent="0.25">
      <c r="A36">
        <f t="shared" ca="1" si="4"/>
        <v>0</v>
      </c>
      <c r="C36">
        <f t="shared" ca="1" si="5"/>
        <v>0</v>
      </c>
      <c r="D36" t="s">
        <v>26</v>
      </c>
      <c r="E36" t="s">
        <v>27</v>
      </c>
      <c r="F36">
        <v>293</v>
      </c>
      <c r="G36" t="s">
        <v>75</v>
      </c>
      <c r="H36" t="s">
        <v>147</v>
      </c>
      <c r="I36" t="s">
        <v>30</v>
      </c>
      <c r="J36" t="s">
        <v>26</v>
      </c>
      <c r="K36" t="s">
        <v>31</v>
      </c>
      <c r="L36" t="s">
        <v>140</v>
      </c>
      <c r="M36">
        <v>6000</v>
      </c>
      <c r="N36">
        <v>424</v>
      </c>
      <c r="O36">
        <v>5072466</v>
      </c>
      <c r="P36">
        <v>81</v>
      </c>
      <c r="Q36" t="s">
        <v>102</v>
      </c>
      <c r="R36">
        <v>3819.87</v>
      </c>
      <c r="T36">
        <v>3819.87</v>
      </c>
      <c r="U36" t="s">
        <v>40</v>
      </c>
      <c r="V36" s="1">
        <v>46204</v>
      </c>
      <c r="W36" s="1">
        <v>46218</v>
      </c>
    </row>
    <row r="37" spans="1:26" x14ac:dyDescent="0.25">
      <c r="A37">
        <f t="shared" ca="1" si="4"/>
        <v>0</v>
      </c>
      <c r="C37">
        <f t="shared" ca="1" si="5"/>
        <v>0</v>
      </c>
      <c r="D37" t="s">
        <v>26</v>
      </c>
      <c r="E37" t="s">
        <v>27</v>
      </c>
      <c r="F37">
        <v>27</v>
      </c>
      <c r="G37" t="s">
        <v>70</v>
      </c>
      <c r="H37" t="s">
        <v>148</v>
      </c>
      <c r="I37" t="s">
        <v>30</v>
      </c>
      <c r="J37" t="s">
        <v>26</v>
      </c>
      <c r="K37" t="s">
        <v>31</v>
      </c>
      <c r="L37" t="s">
        <v>149</v>
      </c>
      <c r="M37">
        <v>15000</v>
      </c>
      <c r="N37">
        <v>425</v>
      </c>
      <c r="O37">
        <v>5063818</v>
      </c>
      <c r="P37">
        <v>153</v>
      </c>
      <c r="Q37" t="s">
        <v>98</v>
      </c>
      <c r="R37">
        <v>2256.9</v>
      </c>
      <c r="S37">
        <v>2256.9</v>
      </c>
      <c r="T37">
        <v>0</v>
      </c>
      <c r="U37" t="s">
        <v>34</v>
      </c>
      <c r="V37" s="1">
        <v>46139</v>
      </c>
      <c r="W37" s="1">
        <v>46142</v>
      </c>
      <c r="Y37" t="s">
        <v>47</v>
      </c>
      <c r="Z37" s="1">
        <v>46142</v>
      </c>
    </row>
    <row r="38" spans="1:26" x14ac:dyDescent="0.25">
      <c r="A38">
        <f t="shared" ca="1" si="4"/>
        <v>0</v>
      </c>
      <c r="C38">
        <f t="shared" ca="1" si="5"/>
        <v>0</v>
      </c>
      <c r="D38" t="s">
        <v>48</v>
      </c>
      <c r="E38" t="s">
        <v>27</v>
      </c>
      <c r="F38">
        <v>300</v>
      </c>
      <c r="G38" t="s">
        <v>85</v>
      </c>
      <c r="H38" t="s">
        <v>150</v>
      </c>
      <c r="I38" t="s">
        <v>30</v>
      </c>
      <c r="J38" t="s">
        <v>48</v>
      </c>
      <c r="K38" t="s">
        <v>31</v>
      </c>
      <c r="L38" t="s">
        <v>151</v>
      </c>
      <c r="M38">
        <v>10000</v>
      </c>
      <c r="N38">
        <v>426</v>
      </c>
      <c r="X38" t="s">
        <v>103</v>
      </c>
    </row>
    <row r="39" spans="1:26" x14ac:dyDescent="0.25">
      <c r="A39">
        <f t="shared" ca="1" si="4"/>
        <v>0</v>
      </c>
      <c r="C39">
        <f t="shared" ca="1" si="5"/>
        <v>0</v>
      </c>
      <c r="D39" t="s">
        <v>26</v>
      </c>
      <c r="E39" t="s">
        <v>27</v>
      </c>
      <c r="F39">
        <v>987</v>
      </c>
      <c r="G39" t="s">
        <v>36</v>
      </c>
      <c r="H39" t="s">
        <v>152</v>
      </c>
      <c r="I39" t="s">
        <v>30</v>
      </c>
      <c r="J39" t="s">
        <v>26</v>
      </c>
      <c r="K39" t="s">
        <v>31</v>
      </c>
      <c r="L39" t="s">
        <v>153</v>
      </c>
      <c r="M39">
        <v>14000</v>
      </c>
      <c r="N39">
        <v>427</v>
      </c>
      <c r="O39">
        <v>5089201</v>
      </c>
      <c r="P39">
        <v>81</v>
      </c>
      <c r="Q39" t="s">
        <v>102</v>
      </c>
      <c r="R39">
        <v>1633.66</v>
      </c>
      <c r="T39">
        <v>1633.66</v>
      </c>
      <c r="U39" t="s">
        <v>40</v>
      </c>
      <c r="V39" s="1">
        <v>46235</v>
      </c>
      <c r="W39" s="1">
        <v>46266</v>
      </c>
      <c r="X39" t="s">
        <v>154</v>
      </c>
    </row>
    <row r="40" spans="1:26" x14ac:dyDescent="0.25">
      <c r="A40">
        <f t="shared" ca="1" si="4"/>
        <v>0</v>
      </c>
      <c r="C40">
        <f t="shared" ca="1" si="5"/>
        <v>0</v>
      </c>
      <c r="D40" t="s">
        <v>35</v>
      </c>
      <c r="E40" t="s">
        <v>27</v>
      </c>
      <c r="F40">
        <v>248</v>
      </c>
      <c r="G40" t="s">
        <v>114</v>
      </c>
      <c r="H40" t="s">
        <v>155</v>
      </c>
      <c r="I40" t="s">
        <v>30</v>
      </c>
      <c r="J40" t="s">
        <v>35</v>
      </c>
      <c r="K40" t="s">
        <v>31</v>
      </c>
      <c r="L40" t="s">
        <v>156</v>
      </c>
      <c r="M40">
        <v>5000</v>
      </c>
      <c r="N40">
        <v>428</v>
      </c>
      <c r="X40" t="s">
        <v>157</v>
      </c>
    </row>
    <row r="41" spans="1:26" x14ac:dyDescent="0.25">
      <c r="A41">
        <f t="shared" ca="1" si="4"/>
        <v>0</v>
      </c>
      <c r="C41">
        <f t="shared" ca="1" si="5"/>
        <v>0</v>
      </c>
      <c r="D41" t="s">
        <v>26</v>
      </c>
      <c r="E41" t="s">
        <v>27</v>
      </c>
      <c r="F41">
        <v>763</v>
      </c>
      <c r="G41" t="s">
        <v>36</v>
      </c>
      <c r="H41" t="s">
        <v>158</v>
      </c>
      <c r="I41" t="s">
        <v>30</v>
      </c>
      <c r="J41" t="s">
        <v>26</v>
      </c>
      <c r="K41" t="s">
        <v>31</v>
      </c>
      <c r="L41" t="s">
        <v>159</v>
      </c>
      <c r="M41">
        <v>4000</v>
      </c>
      <c r="N41">
        <v>429</v>
      </c>
      <c r="O41">
        <v>5024829</v>
      </c>
      <c r="P41">
        <v>28644</v>
      </c>
      <c r="Q41" t="s">
        <v>160</v>
      </c>
      <c r="R41">
        <v>4595.54</v>
      </c>
      <c r="S41">
        <v>4595.54</v>
      </c>
      <c r="T41">
        <v>0</v>
      </c>
      <c r="U41" t="s">
        <v>34</v>
      </c>
      <c r="V41" s="1">
        <v>46094</v>
      </c>
      <c r="W41" s="1">
        <v>46129</v>
      </c>
    </row>
    <row r="42" spans="1:26" x14ac:dyDescent="0.25">
      <c r="A42">
        <f t="shared" ca="1" si="4"/>
        <v>0</v>
      </c>
      <c r="C42">
        <f t="shared" ca="1" si="5"/>
        <v>0</v>
      </c>
      <c r="D42" t="s">
        <v>35</v>
      </c>
      <c r="E42" t="s">
        <v>27</v>
      </c>
      <c r="F42">
        <v>763</v>
      </c>
      <c r="G42" t="s">
        <v>36</v>
      </c>
      <c r="H42" t="s">
        <v>158</v>
      </c>
      <c r="I42" t="s">
        <v>30</v>
      </c>
      <c r="J42" t="s">
        <v>35</v>
      </c>
      <c r="K42" t="s">
        <v>31</v>
      </c>
      <c r="L42" t="s">
        <v>161</v>
      </c>
      <c r="M42">
        <v>5000</v>
      </c>
      <c r="N42">
        <v>430</v>
      </c>
      <c r="O42">
        <v>5047281</v>
      </c>
      <c r="P42">
        <v>483</v>
      </c>
      <c r="Q42" t="s">
        <v>162</v>
      </c>
      <c r="R42">
        <v>10965.76</v>
      </c>
      <c r="S42">
        <v>10965.76</v>
      </c>
      <c r="T42">
        <v>0</v>
      </c>
      <c r="U42" t="s">
        <v>34</v>
      </c>
      <c r="X42" t="s">
        <v>163</v>
      </c>
    </row>
    <row r="43" spans="1:26" x14ac:dyDescent="0.25">
      <c r="A43">
        <f t="shared" ca="1" si="4"/>
        <v>0</v>
      </c>
      <c r="C43">
        <f t="shared" ca="1" si="5"/>
        <v>0</v>
      </c>
      <c r="D43" t="s">
        <v>88</v>
      </c>
      <c r="E43" t="s">
        <v>27</v>
      </c>
      <c r="F43">
        <v>45</v>
      </c>
      <c r="G43" t="s">
        <v>36</v>
      </c>
      <c r="H43" t="s">
        <v>164</v>
      </c>
      <c r="I43" t="s">
        <v>30</v>
      </c>
      <c r="J43" t="s">
        <v>88</v>
      </c>
      <c r="K43" t="s">
        <v>31</v>
      </c>
      <c r="L43" t="s">
        <v>165</v>
      </c>
      <c r="M43">
        <v>20000</v>
      </c>
      <c r="N43">
        <v>432</v>
      </c>
      <c r="O43">
        <v>5043311</v>
      </c>
      <c r="P43">
        <v>5978</v>
      </c>
      <c r="Q43" t="s">
        <v>54</v>
      </c>
      <c r="R43">
        <v>20559</v>
      </c>
      <c r="T43">
        <v>20559</v>
      </c>
      <c r="U43" t="s">
        <v>40</v>
      </c>
      <c r="V43" s="1">
        <v>46143</v>
      </c>
      <c r="W43" s="1">
        <v>46174</v>
      </c>
    </row>
    <row r="44" spans="1:26" x14ac:dyDescent="0.25">
      <c r="A44">
        <f t="shared" ca="1" si="4"/>
        <v>0</v>
      </c>
      <c r="C44">
        <f t="shared" ca="1" si="5"/>
        <v>0</v>
      </c>
      <c r="D44" t="s">
        <v>95</v>
      </c>
      <c r="E44" t="s">
        <v>27</v>
      </c>
      <c r="F44">
        <v>45</v>
      </c>
      <c r="G44" t="s">
        <v>36</v>
      </c>
      <c r="H44" t="s">
        <v>166</v>
      </c>
      <c r="I44" t="s">
        <v>30</v>
      </c>
      <c r="J44" t="s">
        <v>95</v>
      </c>
      <c r="K44" t="s">
        <v>31</v>
      </c>
      <c r="L44" t="s">
        <v>167</v>
      </c>
      <c r="M44">
        <v>5000</v>
      </c>
      <c r="N44">
        <v>434</v>
      </c>
      <c r="X44" t="s">
        <v>168</v>
      </c>
    </row>
    <row r="45" spans="1:26" x14ac:dyDescent="0.25">
      <c r="A45">
        <f t="shared" ca="1" si="4"/>
        <v>0</v>
      </c>
      <c r="C45">
        <f t="shared" ca="1" si="5"/>
        <v>0</v>
      </c>
      <c r="D45" t="s">
        <v>74</v>
      </c>
      <c r="E45" t="s">
        <v>27</v>
      </c>
      <c r="F45">
        <v>628</v>
      </c>
      <c r="G45" t="s">
        <v>75</v>
      </c>
      <c r="H45" t="s">
        <v>169</v>
      </c>
      <c r="I45" t="s">
        <v>30</v>
      </c>
      <c r="J45" t="s">
        <v>74</v>
      </c>
      <c r="K45" t="s">
        <v>31</v>
      </c>
      <c r="L45" t="s">
        <v>170</v>
      </c>
      <c r="M45">
        <v>18000</v>
      </c>
      <c r="N45">
        <v>435</v>
      </c>
      <c r="O45">
        <v>5050198</v>
      </c>
      <c r="P45">
        <v>4146</v>
      </c>
      <c r="Q45" t="s">
        <v>91</v>
      </c>
      <c r="R45">
        <v>42872.5</v>
      </c>
      <c r="T45">
        <v>42872.5</v>
      </c>
      <c r="U45" t="s">
        <v>40</v>
      </c>
      <c r="V45" s="1">
        <v>46174</v>
      </c>
      <c r="W45" s="1">
        <v>46204</v>
      </c>
    </row>
    <row r="46" spans="1:26" x14ac:dyDescent="0.25">
      <c r="A46">
        <f t="shared" ca="1" si="4"/>
        <v>0</v>
      </c>
      <c r="C46">
        <f t="shared" ca="1" si="5"/>
        <v>0</v>
      </c>
      <c r="D46" t="s">
        <v>88</v>
      </c>
      <c r="E46" t="s">
        <v>27</v>
      </c>
      <c r="F46">
        <v>189</v>
      </c>
      <c r="G46" t="s">
        <v>114</v>
      </c>
      <c r="H46" t="s">
        <v>171</v>
      </c>
      <c r="I46" t="s">
        <v>30</v>
      </c>
      <c r="J46" t="s">
        <v>88</v>
      </c>
      <c r="K46" t="s">
        <v>31</v>
      </c>
      <c r="L46" t="s">
        <v>172</v>
      </c>
      <c r="M46">
        <v>18000</v>
      </c>
      <c r="N46">
        <v>436</v>
      </c>
    </row>
    <row r="47" spans="1:26" x14ac:dyDescent="0.25">
      <c r="A47">
        <f t="shared" ca="1" si="4"/>
        <v>0</v>
      </c>
      <c r="C47">
        <f t="shared" ca="1" si="5"/>
        <v>0</v>
      </c>
      <c r="D47" t="s">
        <v>74</v>
      </c>
      <c r="E47" t="s">
        <v>27</v>
      </c>
      <c r="F47">
        <v>930</v>
      </c>
      <c r="G47" t="s">
        <v>36</v>
      </c>
      <c r="H47" t="s">
        <v>173</v>
      </c>
      <c r="I47" t="s">
        <v>30</v>
      </c>
      <c r="J47" t="s">
        <v>74</v>
      </c>
      <c r="K47" t="s">
        <v>31</v>
      </c>
      <c r="L47" t="s">
        <v>174</v>
      </c>
      <c r="M47">
        <v>12000</v>
      </c>
      <c r="N47">
        <v>437</v>
      </c>
      <c r="X47" t="s">
        <v>175</v>
      </c>
    </row>
    <row r="48" spans="1:26" x14ac:dyDescent="0.25">
      <c r="A48">
        <f t="shared" ca="1" si="4"/>
        <v>0</v>
      </c>
      <c r="C48">
        <f t="shared" ca="1" si="5"/>
        <v>0</v>
      </c>
      <c r="D48" t="s">
        <v>95</v>
      </c>
      <c r="E48" t="s">
        <v>27</v>
      </c>
      <c r="F48">
        <v>763</v>
      </c>
      <c r="G48" t="s">
        <v>36</v>
      </c>
      <c r="H48" t="s">
        <v>158</v>
      </c>
      <c r="I48" t="s">
        <v>30</v>
      </c>
      <c r="J48" t="s">
        <v>95</v>
      </c>
      <c r="K48" t="s">
        <v>31</v>
      </c>
      <c r="L48" t="s">
        <v>176</v>
      </c>
      <c r="M48">
        <v>10000</v>
      </c>
      <c r="N48">
        <v>439</v>
      </c>
      <c r="O48">
        <v>5014685</v>
      </c>
      <c r="P48">
        <v>153</v>
      </c>
      <c r="Q48" t="s">
        <v>98</v>
      </c>
      <c r="R48">
        <v>1825.01</v>
      </c>
      <c r="S48">
        <v>1825.01</v>
      </c>
      <c r="T48">
        <v>0</v>
      </c>
      <c r="U48" t="s">
        <v>34</v>
      </c>
      <c r="V48" s="1">
        <v>46099</v>
      </c>
      <c r="W48" s="1">
        <v>46104</v>
      </c>
    </row>
    <row r="49" spans="1:26" x14ac:dyDescent="0.25">
      <c r="A49">
        <f t="shared" ca="1" si="4"/>
        <v>0</v>
      </c>
      <c r="C49">
        <f t="shared" ca="1" si="5"/>
        <v>0</v>
      </c>
      <c r="D49" t="s">
        <v>26</v>
      </c>
      <c r="E49" t="s">
        <v>27</v>
      </c>
      <c r="F49">
        <v>2054</v>
      </c>
      <c r="G49" t="s">
        <v>85</v>
      </c>
      <c r="H49" t="s">
        <v>177</v>
      </c>
      <c r="I49" t="s">
        <v>30</v>
      </c>
      <c r="J49" t="s">
        <v>26</v>
      </c>
      <c r="K49" t="s">
        <v>31</v>
      </c>
      <c r="L49" t="s">
        <v>178</v>
      </c>
      <c r="M49">
        <v>5000</v>
      </c>
      <c r="N49">
        <v>440</v>
      </c>
      <c r="X49" t="s">
        <v>179</v>
      </c>
    </row>
    <row r="50" spans="1:26" x14ac:dyDescent="0.25">
      <c r="A50">
        <f t="shared" ca="1" si="4"/>
        <v>0</v>
      </c>
      <c r="C50">
        <f t="shared" ca="1" si="5"/>
        <v>0</v>
      </c>
      <c r="D50" t="s">
        <v>88</v>
      </c>
      <c r="E50" t="s">
        <v>27</v>
      </c>
      <c r="F50">
        <v>1246</v>
      </c>
      <c r="G50" t="s">
        <v>80</v>
      </c>
      <c r="H50" t="s">
        <v>180</v>
      </c>
      <c r="I50" t="s">
        <v>30</v>
      </c>
      <c r="J50" t="s">
        <v>88</v>
      </c>
      <c r="K50" t="s">
        <v>31</v>
      </c>
      <c r="L50" t="s">
        <v>181</v>
      </c>
      <c r="M50">
        <v>4000</v>
      </c>
      <c r="N50">
        <v>441</v>
      </c>
      <c r="X50" t="s">
        <v>182</v>
      </c>
    </row>
    <row r="51" spans="1:26" x14ac:dyDescent="0.25">
      <c r="A51">
        <f t="shared" ca="1" si="4"/>
        <v>0</v>
      </c>
      <c r="C51">
        <f t="shared" ca="1" si="5"/>
        <v>0</v>
      </c>
      <c r="D51" t="s">
        <v>183</v>
      </c>
      <c r="E51" t="s">
        <v>184</v>
      </c>
      <c r="F51">
        <v>897</v>
      </c>
      <c r="G51" t="s">
        <v>185</v>
      </c>
      <c r="H51" t="s">
        <v>186</v>
      </c>
      <c r="I51" t="s">
        <v>187</v>
      </c>
      <c r="J51" t="s">
        <v>183</v>
      </c>
      <c r="K51" t="s">
        <v>188</v>
      </c>
      <c r="L51" t="s">
        <v>189</v>
      </c>
      <c r="M51">
        <v>15000</v>
      </c>
      <c r="N51">
        <v>442</v>
      </c>
      <c r="O51">
        <v>5068506</v>
      </c>
      <c r="P51">
        <v>5597</v>
      </c>
      <c r="Q51" t="s">
        <v>190</v>
      </c>
      <c r="R51">
        <v>16281.1</v>
      </c>
      <c r="T51">
        <v>16281.1</v>
      </c>
      <c r="X51" t="s">
        <v>191</v>
      </c>
    </row>
    <row r="52" spans="1:26" x14ac:dyDescent="0.25">
      <c r="A52">
        <f t="shared" ca="1" si="4"/>
        <v>0</v>
      </c>
      <c r="C52">
        <f t="shared" ca="1" si="5"/>
        <v>0</v>
      </c>
      <c r="D52" t="s">
        <v>183</v>
      </c>
      <c r="E52" t="s">
        <v>184</v>
      </c>
      <c r="F52">
        <v>907</v>
      </c>
      <c r="G52" t="s">
        <v>192</v>
      </c>
      <c r="H52" t="s">
        <v>193</v>
      </c>
      <c r="I52" t="s">
        <v>187</v>
      </c>
      <c r="J52" t="s">
        <v>183</v>
      </c>
      <c r="K52" t="s">
        <v>188</v>
      </c>
      <c r="L52" t="s">
        <v>194</v>
      </c>
      <c r="M52">
        <v>15000</v>
      </c>
      <c r="N52">
        <v>443</v>
      </c>
      <c r="P52">
        <v>5502</v>
      </c>
      <c r="Q52" t="s">
        <v>195</v>
      </c>
      <c r="R52">
        <v>5379.77</v>
      </c>
      <c r="S52">
        <v>5379.77</v>
      </c>
      <c r="T52">
        <v>0</v>
      </c>
    </row>
    <row r="53" spans="1:26" x14ac:dyDescent="0.25">
      <c r="A53">
        <f t="shared" ca="1" si="4"/>
        <v>0</v>
      </c>
      <c r="C53">
        <f t="shared" ca="1" si="5"/>
        <v>0</v>
      </c>
      <c r="D53" t="s">
        <v>196</v>
      </c>
      <c r="E53" t="s">
        <v>184</v>
      </c>
      <c r="F53">
        <v>908</v>
      </c>
      <c r="G53" t="s">
        <v>185</v>
      </c>
      <c r="H53" t="s">
        <v>197</v>
      </c>
      <c r="I53" t="s">
        <v>187</v>
      </c>
      <c r="J53" t="s">
        <v>196</v>
      </c>
      <c r="K53" t="s">
        <v>188</v>
      </c>
      <c r="L53" t="s">
        <v>198</v>
      </c>
      <c r="M53">
        <v>18000</v>
      </c>
      <c r="N53">
        <v>444</v>
      </c>
      <c r="O53">
        <v>5067425</v>
      </c>
      <c r="P53">
        <v>5597</v>
      </c>
      <c r="Q53" t="s">
        <v>190</v>
      </c>
      <c r="R53">
        <v>6602.2</v>
      </c>
      <c r="T53">
        <v>6602.2</v>
      </c>
    </row>
    <row r="54" spans="1:26" x14ac:dyDescent="0.25">
      <c r="A54">
        <f t="shared" ca="1" si="4"/>
        <v>0</v>
      </c>
      <c r="C54">
        <f t="shared" ca="1" si="5"/>
        <v>0</v>
      </c>
      <c r="D54" t="s">
        <v>183</v>
      </c>
      <c r="E54" t="s">
        <v>184</v>
      </c>
      <c r="F54">
        <v>1116</v>
      </c>
      <c r="G54" t="s">
        <v>192</v>
      </c>
      <c r="H54" t="s">
        <v>199</v>
      </c>
      <c r="I54" t="s">
        <v>187</v>
      </c>
      <c r="J54" t="s">
        <v>183</v>
      </c>
      <c r="K54" t="s">
        <v>188</v>
      </c>
      <c r="L54" t="s">
        <v>200</v>
      </c>
      <c r="M54">
        <v>3000</v>
      </c>
      <c r="N54">
        <v>445</v>
      </c>
      <c r="O54">
        <v>5036762</v>
      </c>
      <c r="P54">
        <v>5597</v>
      </c>
      <c r="Q54" t="s">
        <v>190</v>
      </c>
      <c r="R54">
        <v>1846.9</v>
      </c>
      <c r="T54">
        <v>1846.9</v>
      </c>
    </row>
    <row r="55" spans="1:26" x14ac:dyDescent="0.25">
      <c r="A55">
        <f t="shared" ca="1" si="4"/>
        <v>0</v>
      </c>
      <c r="C55">
        <f t="shared" ca="1" si="5"/>
        <v>0</v>
      </c>
      <c r="D55" t="s">
        <v>196</v>
      </c>
      <c r="E55" t="s">
        <v>184</v>
      </c>
      <c r="F55">
        <v>1137</v>
      </c>
      <c r="G55" t="s">
        <v>185</v>
      </c>
      <c r="H55" t="s">
        <v>201</v>
      </c>
      <c r="I55" t="s">
        <v>187</v>
      </c>
      <c r="J55" t="s">
        <v>196</v>
      </c>
      <c r="K55" t="s">
        <v>188</v>
      </c>
      <c r="L55" t="s">
        <v>202</v>
      </c>
      <c r="M55">
        <v>4000</v>
      </c>
      <c r="N55">
        <v>446</v>
      </c>
      <c r="O55">
        <v>5014010</v>
      </c>
      <c r="P55">
        <v>5597</v>
      </c>
      <c r="Q55" t="s">
        <v>190</v>
      </c>
      <c r="R55">
        <v>3049.2</v>
      </c>
      <c r="T55">
        <v>3049.2</v>
      </c>
    </row>
    <row r="56" spans="1:26" x14ac:dyDescent="0.25">
      <c r="A56">
        <f t="shared" ca="1" si="4"/>
        <v>0</v>
      </c>
      <c r="C56">
        <f t="shared" ca="1" si="5"/>
        <v>0</v>
      </c>
      <c r="D56" t="s">
        <v>203</v>
      </c>
      <c r="E56" t="s">
        <v>184</v>
      </c>
      <c r="F56">
        <v>897</v>
      </c>
      <c r="G56" t="s">
        <v>185</v>
      </c>
      <c r="H56" t="s">
        <v>204</v>
      </c>
      <c r="I56" t="s">
        <v>44</v>
      </c>
      <c r="J56" t="s">
        <v>203</v>
      </c>
      <c r="K56" t="s">
        <v>188</v>
      </c>
      <c r="L56" t="s">
        <v>205</v>
      </c>
      <c r="M56">
        <v>21000</v>
      </c>
      <c r="N56">
        <v>447</v>
      </c>
      <c r="O56">
        <v>5022673</v>
      </c>
      <c r="P56">
        <v>4787</v>
      </c>
      <c r="Q56" t="s">
        <v>206</v>
      </c>
      <c r="R56">
        <v>21946.1</v>
      </c>
      <c r="S56">
        <v>21946.1</v>
      </c>
      <c r="T56">
        <v>0</v>
      </c>
      <c r="U56" t="s">
        <v>34</v>
      </c>
      <c r="V56" s="1">
        <v>46055</v>
      </c>
      <c r="W56" s="1">
        <v>46111</v>
      </c>
      <c r="Y56" t="s">
        <v>47</v>
      </c>
      <c r="Z56" s="1">
        <v>46048</v>
      </c>
    </row>
    <row r="57" spans="1:26" x14ac:dyDescent="0.25">
      <c r="A57">
        <f t="shared" ca="1" si="4"/>
        <v>0</v>
      </c>
      <c r="C57">
        <f t="shared" ca="1" si="5"/>
        <v>0</v>
      </c>
      <c r="D57" t="s">
        <v>203</v>
      </c>
      <c r="E57" t="s">
        <v>184</v>
      </c>
      <c r="F57">
        <v>897</v>
      </c>
      <c r="G57" t="s">
        <v>185</v>
      </c>
      <c r="H57" t="s">
        <v>204</v>
      </c>
      <c r="I57" t="s">
        <v>44</v>
      </c>
      <c r="J57" t="s">
        <v>203</v>
      </c>
      <c r="K57" t="s">
        <v>188</v>
      </c>
      <c r="L57" t="s">
        <v>207</v>
      </c>
      <c r="M57">
        <v>23000</v>
      </c>
      <c r="N57">
        <v>448</v>
      </c>
      <c r="O57">
        <v>5029261</v>
      </c>
      <c r="P57">
        <v>480</v>
      </c>
      <c r="Q57" t="s">
        <v>208</v>
      </c>
      <c r="R57">
        <v>19229.13</v>
      </c>
      <c r="S57">
        <v>19229.13</v>
      </c>
      <c r="T57">
        <v>0</v>
      </c>
      <c r="U57" t="s">
        <v>34</v>
      </c>
    </row>
    <row r="58" spans="1:26" x14ac:dyDescent="0.25">
      <c r="A58">
        <f t="shared" ca="1" si="4"/>
        <v>0</v>
      </c>
      <c r="C58">
        <f t="shared" ca="1" si="5"/>
        <v>0</v>
      </c>
      <c r="D58" t="s">
        <v>209</v>
      </c>
      <c r="E58" t="s">
        <v>184</v>
      </c>
      <c r="F58">
        <v>897</v>
      </c>
      <c r="G58" t="s">
        <v>185</v>
      </c>
      <c r="H58" t="s">
        <v>210</v>
      </c>
      <c r="I58" t="s">
        <v>44</v>
      </c>
      <c r="J58" t="s">
        <v>209</v>
      </c>
      <c r="K58" t="s">
        <v>188</v>
      </c>
      <c r="L58" t="s">
        <v>211</v>
      </c>
      <c r="M58">
        <v>5000</v>
      </c>
      <c r="N58">
        <v>449</v>
      </c>
    </row>
    <row r="59" spans="1:26" x14ac:dyDescent="0.25">
      <c r="A59" t="s">
        <v>212</v>
      </c>
    </row>
    <row r="60" spans="1:26" x14ac:dyDescent="0.25">
      <c r="A60">
        <f ca="1">+ Cmde</f>
        <v>0</v>
      </c>
      <c r="C60">
        <f ca="1">+ Devis</f>
        <v>0</v>
      </c>
      <c r="D60" t="s">
        <v>41</v>
      </c>
      <c r="E60" t="s">
        <v>58</v>
      </c>
      <c r="F60">
        <v>1307</v>
      </c>
      <c r="G60" t="s">
        <v>213</v>
      </c>
      <c r="H60" t="s">
        <v>214</v>
      </c>
      <c r="I60" t="s">
        <v>44</v>
      </c>
      <c r="J60" t="s">
        <v>41</v>
      </c>
      <c r="K60" t="s">
        <v>215</v>
      </c>
      <c r="L60" t="s">
        <v>216</v>
      </c>
      <c r="M60">
        <v>4000</v>
      </c>
      <c r="N60">
        <v>227</v>
      </c>
      <c r="O60">
        <v>5035624</v>
      </c>
      <c r="P60">
        <v>8196</v>
      </c>
      <c r="Q60" t="s">
        <v>217</v>
      </c>
      <c r="R60">
        <v>1795.77</v>
      </c>
      <c r="S60">
        <v>1795.77</v>
      </c>
      <c r="T60">
        <v>0</v>
      </c>
      <c r="U60" t="s">
        <v>34</v>
      </c>
      <c r="V60" s="1">
        <v>46083</v>
      </c>
      <c r="W60" s="1">
        <v>46108</v>
      </c>
      <c r="X60" t="s">
        <v>218</v>
      </c>
    </row>
    <row r="61" spans="1:26" x14ac:dyDescent="0.25">
      <c r="A61" t="s">
        <v>219</v>
      </c>
    </row>
    <row r="62" spans="1:26" x14ac:dyDescent="0.25">
      <c r="A62" t="s">
        <v>220</v>
      </c>
    </row>
    <row r="63" spans="1:26" x14ac:dyDescent="0.25">
      <c r="A63">
        <f ca="1">+ Cmde</f>
        <v>0</v>
      </c>
      <c r="C63">
        <f ca="1">+ Devis</f>
        <v>0</v>
      </c>
      <c r="D63" t="s">
        <v>221</v>
      </c>
      <c r="E63" t="s">
        <v>58</v>
      </c>
      <c r="F63">
        <v>1283</v>
      </c>
      <c r="G63" t="s">
        <v>213</v>
      </c>
      <c r="H63" t="s">
        <v>222</v>
      </c>
      <c r="I63" t="s">
        <v>187</v>
      </c>
      <c r="J63" t="s">
        <v>221</v>
      </c>
      <c r="K63" t="s">
        <v>215</v>
      </c>
      <c r="L63" t="s">
        <v>223</v>
      </c>
      <c r="M63">
        <v>6000</v>
      </c>
      <c r="N63">
        <v>188</v>
      </c>
      <c r="O63">
        <v>5025318</v>
      </c>
      <c r="P63">
        <v>6787</v>
      </c>
      <c r="Q63" t="s">
        <v>33</v>
      </c>
      <c r="R63">
        <v>2838.44</v>
      </c>
      <c r="S63">
        <v>2838.44</v>
      </c>
      <c r="T63">
        <v>0</v>
      </c>
      <c r="U63" t="s">
        <v>34</v>
      </c>
      <c r="V63" s="1">
        <v>46083</v>
      </c>
      <c r="W63" s="1">
        <v>46122</v>
      </c>
    </row>
    <row r="64" spans="1:26" x14ac:dyDescent="0.25">
      <c r="A64">
        <f ca="1">+ Cmde</f>
        <v>0</v>
      </c>
      <c r="C64">
        <f ca="1">+ Devis</f>
        <v>0</v>
      </c>
      <c r="D64" t="s">
        <v>95</v>
      </c>
      <c r="E64" t="s">
        <v>58</v>
      </c>
      <c r="F64">
        <v>619</v>
      </c>
      <c r="G64" t="s">
        <v>224</v>
      </c>
      <c r="H64" t="s">
        <v>225</v>
      </c>
      <c r="I64" t="s">
        <v>30</v>
      </c>
      <c r="J64" t="s">
        <v>95</v>
      </c>
      <c r="K64" t="s">
        <v>61</v>
      </c>
      <c r="L64" t="s">
        <v>226</v>
      </c>
      <c r="P64">
        <v>1627</v>
      </c>
      <c r="Q64" t="s">
        <v>227</v>
      </c>
      <c r="R64">
        <v>7615.68</v>
      </c>
      <c r="S64">
        <v>7615.68</v>
      </c>
      <c r="T64">
        <v>0</v>
      </c>
    </row>
    <row r="65" spans="1:24" x14ac:dyDescent="0.25">
      <c r="A65">
        <f ca="1">+ Cmde</f>
        <v>0</v>
      </c>
      <c r="C65">
        <f ca="1">+ Devis</f>
        <v>0</v>
      </c>
      <c r="D65" t="s">
        <v>74</v>
      </c>
      <c r="E65" t="s">
        <v>49</v>
      </c>
      <c r="F65">
        <v>1563</v>
      </c>
      <c r="G65" t="s">
        <v>228</v>
      </c>
      <c r="H65" t="s">
        <v>229</v>
      </c>
      <c r="I65" t="s">
        <v>30</v>
      </c>
      <c r="J65" t="s">
        <v>74</v>
      </c>
      <c r="K65" t="s">
        <v>52</v>
      </c>
      <c r="L65" t="s">
        <v>230</v>
      </c>
      <c r="O65">
        <v>5042428</v>
      </c>
      <c r="P65">
        <v>4921</v>
      </c>
      <c r="Q65" t="s">
        <v>94</v>
      </c>
      <c r="R65">
        <v>2519.7600000000002</v>
      </c>
      <c r="S65">
        <v>2519.7600000000002</v>
      </c>
      <c r="T65">
        <v>0</v>
      </c>
      <c r="U65" t="s">
        <v>34</v>
      </c>
      <c r="V65" s="1">
        <v>46135</v>
      </c>
      <c r="W65" s="1">
        <v>46136</v>
      </c>
      <c r="X65" t="s">
        <v>56</v>
      </c>
    </row>
    <row r="66" spans="1:24" x14ac:dyDescent="0.25">
      <c r="A66">
        <f ca="1">+ Cmde</f>
        <v>0</v>
      </c>
      <c r="C66">
        <f ca="1">+ Devis</f>
        <v>0</v>
      </c>
      <c r="D66" t="s">
        <v>88</v>
      </c>
      <c r="E66" t="s">
        <v>49</v>
      </c>
      <c r="F66">
        <v>1564</v>
      </c>
      <c r="G66" t="s">
        <v>231</v>
      </c>
      <c r="H66" t="s">
        <v>232</v>
      </c>
      <c r="I66" t="s">
        <v>30</v>
      </c>
      <c r="J66" t="s">
        <v>88</v>
      </c>
      <c r="K66" t="s">
        <v>52</v>
      </c>
      <c r="L66" t="s">
        <v>233</v>
      </c>
      <c r="O66">
        <v>5042792</v>
      </c>
      <c r="P66">
        <v>4921</v>
      </c>
      <c r="Q66" t="s">
        <v>94</v>
      </c>
      <c r="R66">
        <v>3383.51</v>
      </c>
      <c r="T66">
        <v>3383.51</v>
      </c>
      <c r="X66" t="s">
        <v>56</v>
      </c>
    </row>
    <row r="67" spans="1:24" x14ac:dyDescent="0.25">
      <c r="A67" t="s">
        <v>234</v>
      </c>
    </row>
    <row r="68" spans="1:24" x14ac:dyDescent="0.25">
      <c r="A68" t="s">
        <v>235</v>
      </c>
    </row>
    <row r="69" spans="1:24" x14ac:dyDescent="0.25">
      <c r="A69">
        <f t="shared" ref="A69:A84" ca="1" si="6">+ Cmde</f>
        <v>0</v>
      </c>
      <c r="C69">
        <f t="shared" ref="C69:C84" ca="1" si="7">+ Devis</f>
        <v>0</v>
      </c>
      <c r="D69" t="s">
        <v>236</v>
      </c>
      <c r="E69" t="s">
        <v>237</v>
      </c>
      <c r="F69">
        <v>69</v>
      </c>
      <c r="G69" t="s">
        <v>238</v>
      </c>
      <c r="H69" t="s">
        <v>239</v>
      </c>
      <c r="I69" t="s">
        <v>44</v>
      </c>
      <c r="J69" t="s">
        <v>236</v>
      </c>
      <c r="K69" t="s">
        <v>240</v>
      </c>
      <c r="L69" t="s">
        <v>241</v>
      </c>
      <c r="M69">
        <v>7000</v>
      </c>
      <c r="N69">
        <v>42</v>
      </c>
      <c r="P69">
        <v>2625</v>
      </c>
      <c r="Q69" t="s">
        <v>242</v>
      </c>
      <c r="R69">
        <v>132</v>
      </c>
      <c r="T69">
        <v>132</v>
      </c>
      <c r="U69" t="s">
        <v>34</v>
      </c>
    </row>
    <row r="70" spans="1:24" x14ac:dyDescent="0.25">
      <c r="A70">
        <f t="shared" ca="1" si="6"/>
        <v>0</v>
      </c>
      <c r="C70">
        <f t="shared" ca="1" si="7"/>
        <v>0</v>
      </c>
      <c r="D70" t="s">
        <v>236</v>
      </c>
      <c r="E70" t="s">
        <v>237</v>
      </c>
      <c r="F70">
        <v>69</v>
      </c>
      <c r="G70" t="s">
        <v>238</v>
      </c>
      <c r="H70" t="s">
        <v>243</v>
      </c>
      <c r="I70" t="s">
        <v>44</v>
      </c>
      <c r="J70" t="s">
        <v>236</v>
      </c>
      <c r="K70" t="s">
        <v>240</v>
      </c>
      <c r="L70" t="s">
        <v>244</v>
      </c>
      <c r="M70">
        <v>7000</v>
      </c>
      <c r="N70">
        <v>42</v>
      </c>
      <c r="P70">
        <v>2625</v>
      </c>
      <c r="Q70" t="s">
        <v>242</v>
      </c>
      <c r="R70">
        <v>110</v>
      </c>
      <c r="T70">
        <v>110</v>
      </c>
      <c r="U70" t="s">
        <v>34</v>
      </c>
    </row>
    <row r="71" spans="1:24" x14ac:dyDescent="0.25">
      <c r="A71">
        <f t="shared" ca="1" si="6"/>
        <v>0</v>
      </c>
      <c r="C71">
        <f t="shared" ca="1" si="7"/>
        <v>0</v>
      </c>
      <c r="D71" t="s">
        <v>35</v>
      </c>
      <c r="E71" t="s">
        <v>245</v>
      </c>
      <c r="F71">
        <v>989</v>
      </c>
      <c r="G71" t="s">
        <v>246</v>
      </c>
      <c r="H71" t="s">
        <v>247</v>
      </c>
      <c r="I71" t="s">
        <v>30</v>
      </c>
      <c r="J71" t="s">
        <v>35</v>
      </c>
      <c r="K71" t="s">
        <v>188</v>
      </c>
      <c r="L71" t="s">
        <v>248</v>
      </c>
      <c r="O71">
        <v>5073179</v>
      </c>
      <c r="P71">
        <v>5359</v>
      </c>
      <c r="Q71" t="s">
        <v>249</v>
      </c>
      <c r="R71">
        <v>2640</v>
      </c>
      <c r="S71">
        <v>2640</v>
      </c>
      <c r="T71">
        <v>0</v>
      </c>
      <c r="U71" t="s">
        <v>34</v>
      </c>
    </row>
    <row r="72" spans="1:24" x14ac:dyDescent="0.25">
      <c r="A72">
        <f t="shared" ca="1" si="6"/>
        <v>0</v>
      </c>
      <c r="C72">
        <f t="shared" ca="1" si="7"/>
        <v>0</v>
      </c>
      <c r="D72" t="s">
        <v>95</v>
      </c>
      <c r="E72" t="s">
        <v>250</v>
      </c>
      <c r="F72">
        <v>1885</v>
      </c>
      <c r="G72" t="s">
        <v>251</v>
      </c>
      <c r="H72" t="s">
        <v>252</v>
      </c>
      <c r="I72" t="s">
        <v>30</v>
      </c>
      <c r="J72" t="s">
        <v>95</v>
      </c>
      <c r="K72" t="s">
        <v>253</v>
      </c>
      <c r="L72" t="s">
        <v>254</v>
      </c>
      <c r="M72">
        <v>3500</v>
      </c>
      <c r="N72">
        <v>730</v>
      </c>
      <c r="O72">
        <v>5077533</v>
      </c>
      <c r="P72">
        <v>6761</v>
      </c>
      <c r="Q72" t="s">
        <v>255</v>
      </c>
      <c r="R72">
        <v>774.4</v>
      </c>
      <c r="S72">
        <v>774.4</v>
      </c>
      <c r="T72">
        <v>0</v>
      </c>
      <c r="U72" t="s">
        <v>34</v>
      </c>
    </row>
    <row r="73" spans="1:24" x14ac:dyDescent="0.25">
      <c r="A73">
        <f t="shared" ca="1" si="6"/>
        <v>0</v>
      </c>
      <c r="C73">
        <f t="shared" ca="1" si="7"/>
        <v>0</v>
      </c>
      <c r="D73" t="s">
        <v>209</v>
      </c>
      <c r="E73" t="s">
        <v>237</v>
      </c>
      <c r="F73">
        <v>69</v>
      </c>
      <c r="G73" t="s">
        <v>238</v>
      </c>
      <c r="H73" t="s">
        <v>256</v>
      </c>
      <c r="I73" t="s">
        <v>44</v>
      </c>
      <c r="J73" t="s">
        <v>209</v>
      </c>
      <c r="K73" t="s">
        <v>240</v>
      </c>
      <c r="L73" t="s">
        <v>257</v>
      </c>
      <c r="M73">
        <v>15000</v>
      </c>
      <c r="N73">
        <v>48</v>
      </c>
      <c r="O73">
        <v>5080978</v>
      </c>
      <c r="P73">
        <v>7431</v>
      </c>
      <c r="Q73" t="s">
        <v>121</v>
      </c>
      <c r="R73">
        <v>4235</v>
      </c>
      <c r="T73">
        <v>4235</v>
      </c>
    </row>
    <row r="74" spans="1:24" x14ac:dyDescent="0.25">
      <c r="A74">
        <f t="shared" ca="1" si="6"/>
        <v>0</v>
      </c>
      <c r="C74">
        <f t="shared" ca="1" si="7"/>
        <v>0</v>
      </c>
      <c r="D74" t="s">
        <v>79</v>
      </c>
      <c r="E74" t="s">
        <v>237</v>
      </c>
      <c r="F74">
        <v>1273</v>
      </c>
      <c r="G74" t="s">
        <v>258</v>
      </c>
      <c r="H74" t="s">
        <v>259</v>
      </c>
      <c r="I74" t="s">
        <v>30</v>
      </c>
      <c r="J74" t="s">
        <v>79</v>
      </c>
      <c r="K74" t="s">
        <v>240</v>
      </c>
      <c r="L74" t="s">
        <v>260</v>
      </c>
      <c r="M74">
        <v>15000</v>
      </c>
      <c r="N74">
        <v>77</v>
      </c>
      <c r="O74">
        <v>5081012</v>
      </c>
      <c r="P74">
        <v>7669</v>
      </c>
      <c r="Q74" t="s">
        <v>261</v>
      </c>
      <c r="R74">
        <v>2936.34</v>
      </c>
      <c r="T74">
        <v>2936.34</v>
      </c>
    </row>
    <row r="75" spans="1:24" x14ac:dyDescent="0.25">
      <c r="A75">
        <f t="shared" ca="1" si="6"/>
        <v>0</v>
      </c>
      <c r="C75">
        <f t="shared" ca="1" si="7"/>
        <v>0</v>
      </c>
      <c r="D75" t="s">
        <v>79</v>
      </c>
      <c r="E75" t="s">
        <v>237</v>
      </c>
      <c r="F75">
        <v>1273</v>
      </c>
      <c r="G75" t="s">
        <v>258</v>
      </c>
      <c r="H75" t="s">
        <v>259</v>
      </c>
      <c r="I75" t="s">
        <v>30</v>
      </c>
      <c r="J75" t="s">
        <v>79</v>
      </c>
      <c r="K75" t="s">
        <v>240</v>
      </c>
      <c r="L75" t="s">
        <v>262</v>
      </c>
      <c r="M75">
        <v>15000</v>
      </c>
      <c r="N75">
        <v>77</v>
      </c>
    </row>
    <row r="76" spans="1:24" x14ac:dyDescent="0.25">
      <c r="A76">
        <f t="shared" ca="1" si="6"/>
        <v>0</v>
      </c>
      <c r="C76">
        <f t="shared" ca="1" si="7"/>
        <v>0</v>
      </c>
      <c r="D76" t="s">
        <v>41</v>
      </c>
      <c r="E76" t="s">
        <v>49</v>
      </c>
      <c r="F76">
        <v>895</v>
      </c>
      <c r="G76" t="s">
        <v>263</v>
      </c>
      <c r="H76" t="s">
        <v>264</v>
      </c>
      <c r="I76" t="s">
        <v>44</v>
      </c>
      <c r="J76" t="s">
        <v>41</v>
      </c>
      <c r="K76" t="s">
        <v>52</v>
      </c>
      <c r="L76" t="s">
        <v>265</v>
      </c>
      <c r="M76">
        <v>8000</v>
      </c>
      <c r="N76">
        <v>673</v>
      </c>
      <c r="O76">
        <v>5042339</v>
      </c>
      <c r="P76">
        <v>5978</v>
      </c>
      <c r="Q76" t="s">
        <v>54</v>
      </c>
      <c r="R76">
        <v>2887.5</v>
      </c>
      <c r="S76">
        <v>2887.5</v>
      </c>
      <c r="T76">
        <v>0</v>
      </c>
      <c r="U76" t="s">
        <v>34</v>
      </c>
      <c r="V76" s="1">
        <v>46266</v>
      </c>
      <c r="W76" s="1">
        <v>46267</v>
      </c>
      <c r="X76" t="s">
        <v>56</v>
      </c>
    </row>
    <row r="77" spans="1:24" x14ac:dyDescent="0.25">
      <c r="A77">
        <f t="shared" ca="1" si="6"/>
        <v>0</v>
      </c>
      <c r="C77">
        <f t="shared" ca="1" si="7"/>
        <v>0</v>
      </c>
      <c r="D77" t="s">
        <v>74</v>
      </c>
      <c r="E77" t="s">
        <v>27</v>
      </c>
      <c r="F77">
        <v>604</v>
      </c>
      <c r="G77" t="s">
        <v>70</v>
      </c>
      <c r="H77" t="s">
        <v>266</v>
      </c>
      <c r="I77" t="s">
        <v>30</v>
      </c>
      <c r="J77" t="s">
        <v>74</v>
      </c>
      <c r="K77" t="s">
        <v>31</v>
      </c>
      <c r="L77" t="s">
        <v>267</v>
      </c>
      <c r="M77">
        <v>17000</v>
      </c>
      <c r="N77">
        <v>375</v>
      </c>
      <c r="O77">
        <v>5101168</v>
      </c>
      <c r="P77">
        <v>4921</v>
      </c>
      <c r="Q77" t="s">
        <v>94</v>
      </c>
      <c r="R77">
        <v>16375.74</v>
      </c>
      <c r="T77">
        <v>16375.74</v>
      </c>
      <c r="U77" t="s">
        <v>40</v>
      </c>
      <c r="V77" s="1">
        <v>46266</v>
      </c>
      <c r="W77" s="1">
        <v>46295</v>
      </c>
      <c r="X77" t="s">
        <v>268</v>
      </c>
    </row>
    <row r="78" spans="1:24" x14ac:dyDescent="0.25">
      <c r="A78">
        <f t="shared" ca="1" si="6"/>
        <v>0</v>
      </c>
      <c r="C78">
        <f t="shared" ca="1" si="7"/>
        <v>0</v>
      </c>
      <c r="D78" t="s">
        <v>57</v>
      </c>
      <c r="E78" t="s">
        <v>27</v>
      </c>
      <c r="F78">
        <v>181</v>
      </c>
      <c r="G78" t="s">
        <v>70</v>
      </c>
      <c r="H78" t="s">
        <v>269</v>
      </c>
      <c r="I78" t="s">
        <v>44</v>
      </c>
      <c r="J78" t="s">
        <v>57</v>
      </c>
      <c r="K78" t="s">
        <v>31</v>
      </c>
      <c r="L78" t="s">
        <v>270</v>
      </c>
      <c r="M78">
        <v>8000</v>
      </c>
      <c r="N78">
        <v>330</v>
      </c>
      <c r="X78" t="s">
        <v>271</v>
      </c>
    </row>
    <row r="79" spans="1:24" x14ac:dyDescent="0.25">
      <c r="A79">
        <f t="shared" ca="1" si="6"/>
        <v>0</v>
      </c>
      <c r="C79">
        <f t="shared" ca="1" si="7"/>
        <v>0</v>
      </c>
      <c r="D79" t="s">
        <v>26</v>
      </c>
      <c r="E79" t="s">
        <v>27</v>
      </c>
      <c r="F79">
        <v>10</v>
      </c>
      <c r="G79" t="s">
        <v>114</v>
      </c>
      <c r="H79" t="s">
        <v>272</v>
      </c>
      <c r="I79" t="s">
        <v>30</v>
      </c>
      <c r="J79" t="s">
        <v>26</v>
      </c>
      <c r="K79" t="s">
        <v>31</v>
      </c>
      <c r="L79" t="s">
        <v>273</v>
      </c>
      <c r="M79">
        <v>7000</v>
      </c>
      <c r="N79">
        <v>370</v>
      </c>
      <c r="X79" t="s">
        <v>274</v>
      </c>
    </row>
    <row r="80" spans="1:24" x14ac:dyDescent="0.25">
      <c r="A80">
        <f t="shared" ca="1" si="6"/>
        <v>0</v>
      </c>
      <c r="C80">
        <f t="shared" ca="1" si="7"/>
        <v>0</v>
      </c>
      <c r="D80" t="s">
        <v>74</v>
      </c>
      <c r="E80" t="s">
        <v>27</v>
      </c>
      <c r="F80">
        <v>210</v>
      </c>
      <c r="G80" t="s">
        <v>28</v>
      </c>
      <c r="H80" t="s">
        <v>275</v>
      </c>
      <c r="I80" t="s">
        <v>30</v>
      </c>
      <c r="J80" t="s">
        <v>74</v>
      </c>
      <c r="K80" t="s">
        <v>31</v>
      </c>
      <c r="L80" t="s">
        <v>276</v>
      </c>
      <c r="M80">
        <v>5000</v>
      </c>
      <c r="N80">
        <v>438</v>
      </c>
      <c r="O80">
        <v>5092971</v>
      </c>
      <c r="P80">
        <v>25204</v>
      </c>
      <c r="Q80" t="s">
        <v>46</v>
      </c>
      <c r="R80">
        <v>3701.73</v>
      </c>
      <c r="S80">
        <v>3701.73</v>
      </c>
      <c r="T80">
        <v>0</v>
      </c>
      <c r="U80" t="s">
        <v>34</v>
      </c>
      <c r="V80" s="1">
        <v>46235</v>
      </c>
      <c r="W80" s="1">
        <v>46266</v>
      </c>
      <c r="X80" t="s">
        <v>277</v>
      </c>
    </row>
    <row r="81" spans="1:26" x14ac:dyDescent="0.25">
      <c r="A81">
        <f t="shared" ca="1" si="6"/>
        <v>0</v>
      </c>
      <c r="C81">
        <f t="shared" ca="1" si="7"/>
        <v>0</v>
      </c>
      <c r="D81" t="s">
        <v>41</v>
      </c>
      <c r="E81" t="s">
        <v>27</v>
      </c>
      <c r="F81">
        <v>284</v>
      </c>
      <c r="G81" t="s">
        <v>28</v>
      </c>
      <c r="H81" t="s">
        <v>278</v>
      </c>
      <c r="I81" t="s">
        <v>44</v>
      </c>
      <c r="J81" t="s">
        <v>41</v>
      </c>
      <c r="K81" t="s">
        <v>31</v>
      </c>
      <c r="L81" t="s">
        <v>279</v>
      </c>
      <c r="M81">
        <v>5000</v>
      </c>
      <c r="N81">
        <v>336</v>
      </c>
      <c r="O81">
        <v>5093003</v>
      </c>
      <c r="P81">
        <v>25204</v>
      </c>
      <c r="Q81" t="s">
        <v>46</v>
      </c>
      <c r="R81">
        <v>3865.07</v>
      </c>
      <c r="S81">
        <v>3865.07</v>
      </c>
      <c r="T81">
        <v>0</v>
      </c>
      <c r="U81" t="s">
        <v>34</v>
      </c>
      <c r="V81" s="1">
        <v>46235</v>
      </c>
      <c r="W81" s="1">
        <v>46249</v>
      </c>
    </row>
    <row r="82" spans="1:26" x14ac:dyDescent="0.25">
      <c r="A82">
        <f t="shared" ca="1" si="6"/>
        <v>0</v>
      </c>
      <c r="C82">
        <f t="shared" ca="1" si="7"/>
        <v>0</v>
      </c>
      <c r="D82" t="s">
        <v>95</v>
      </c>
      <c r="E82" t="s">
        <v>27</v>
      </c>
      <c r="F82">
        <v>227</v>
      </c>
      <c r="G82" t="s">
        <v>75</v>
      </c>
      <c r="H82" t="s">
        <v>280</v>
      </c>
      <c r="I82" t="s">
        <v>30</v>
      </c>
      <c r="J82" t="s">
        <v>95</v>
      </c>
      <c r="K82" t="s">
        <v>31</v>
      </c>
      <c r="L82" t="s">
        <v>281</v>
      </c>
      <c r="M82">
        <v>5000</v>
      </c>
      <c r="N82">
        <v>373</v>
      </c>
      <c r="X82" t="s">
        <v>282</v>
      </c>
    </row>
    <row r="83" spans="1:26" x14ac:dyDescent="0.25">
      <c r="A83">
        <f t="shared" ca="1" si="6"/>
        <v>0</v>
      </c>
      <c r="C83">
        <f t="shared" ca="1" si="7"/>
        <v>0</v>
      </c>
      <c r="D83" t="s">
        <v>26</v>
      </c>
      <c r="E83" t="s">
        <v>27</v>
      </c>
      <c r="F83">
        <v>256</v>
      </c>
      <c r="G83" t="s">
        <v>28</v>
      </c>
      <c r="H83" t="s">
        <v>283</v>
      </c>
      <c r="I83" t="s">
        <v>30</v>
      </c>
      <c r="J83" t="s">
        <v>26</v>
      </c>
      <c r="K83" t="s">
        <v>31</v>
      </c>
      <c r="L83" t="s">
        <v>284</v>
      </c>
      <c r="M83">
        <v>4000</v>
      </c>
      <c r="N83">
        <v>388</v>
      </c>
      <c r="O83">
        <v>5123228</v>
      </c>
      <c r="P83">
        <v>7431</v>
      </c>
      <c r="Q83" t="s">
        <v>121</v>
      </c>
      <c r="R83">
        <v>1243</v>
      </c>
      <c r="T83">
        <v>1243</v>
      </c>
      <c r="U83" t="s">
        <v>107</v>
      </c>
      <c r="V83" s="1">
        <v>46295</v>
      </c>
      <c r="W83" s="1">
        <v>46325</v>
      </c>
      <c r="X83" t="s">
        <v>40</v>
      </c>
    </row>
    <row r="84" spans="1:26" x14ac:dyDescent="0.25">
      <c r="A84">
        <f t="shared" ca="1" si="6"/>
        <v>0</v>
      </c>
      <c r="C84">
        <f t="shared" ca="1" si="7"/>
        <v>0</v>
      </c>
      <c r="D84" t="s">
        <v>285</v>
      </c>
      <c r="E84" t="s">
        <v>27</v>
      </c>
      <c r="F84">
        <v>763</v>
      </c>
      <c r="G84" t="s">
        <v>36</v>
      </c>
      <c r="H84" t="s">
        <v>158</v>
      </c>
      <c r="I84" t="s">
        <v>187</v>
      </c>
      <c r="J84" t="s">
        <v>285</v>
      </c>
      <c r="K84" t="s">
        <v>31</v>
      </c>
      <c r="L84" t="s">
        <v>286</v>
      </c>
      <c r="M84">
        <v>2000</v>
      </c>
      <c r="N84">
        <v>320</v>
      </c>
      <c r="X84" t="s">
        <v>287</v>
      </c>
    </row>
    <row r="86" spans="1:26" x14ac:dyDescent="0.25">
      <c r="A86" t="s">
        <v>288</v>
      </c>
    </row>
    <row r="88" spans="1:26" x14ac:dyDescent="0.25">
      <c r="A88" t="s">
        <v>289</v>
      </c>
    </row>
    <row r="89" spans="1:26" x14ac:dyDescent="0.25">
      <c r="A89" t="s">
        <v>290</v>
      </c>
    </row>
    <row r="90" spans="1:26" x14ac:dyDescent="0.25">
      <c r="A90">
        <f t="shared" ref="A90:A95" ca="1" si="8">+ Cmde</f>
        <v>0</v>
      </c>
      <c r="C90">
        <f t="shared" ref="C90:C95" ca="1" si="9">+ Devis</f>
        <v>0</v>
      </c>
      <c r="D90" t="s">
        <v>209</v>
      </c>
      <c r="E90" t="s">
        <v>27</v>
      </c>
      <c r="F90">
        <v>325</v>
      </c>
      <c r="G90" t="s">
        <v>42</v>
      </c>
      <c r="H90" t="s">
        <v>291</v>
      </c>
      <c r="I90" t="s">
        <v>44</v>
      </c>
      <c r="J90" t="s">
        <v>209</v>
      </c>
      <c r="K90" t="s">
        <v>31</v>
      </c>
      <c r="L90" t="s">
        <v>292</v>
      </c>
      <c r="M90">
        <v>8000</v>
      </c>
      <c r="N90">
        <v>341</v>
      </c>
      <c r="O90">
        <v>5091045</v>
      </c>
      <c r="P90">
        <v>81</v>
      </c>
      <c r="Q90" t="s">
        <v>102</v>
      </c>
      <c r="R90">
        <v>1168.74</v>
      </c>
      <c r="T90">
        <v>1168.74</v>
      </c>
      <c r="U90" t="s">
        <v>40</v>
      </c>
      <c r="V90" s="1">
        <v>46244</v>
      </c>
      <c r="W90" s="1">
        <v>46249</v>
      </c>
      <c r="X90" t="s">
        <v>102</v>
      </c>
      <c r="Y90" t="s">
        <v>47</v>
      </c>
      <c r="Z90" s="1">
        <v>46203</v>
      </c>
    </row>
    <row r="91" spans="1:26" x14ac:dyDescent="0.25">
      <c r="A91">
        <f t="shared" ca="1" si="8"/>
        <v>0</v>
      </c>
      <c r="C91">
        <f t="shared" ca="1" si="9"/>
        <v>0</v>
      </c>
      <c r="D91" t="s">
        <v>95</v>
      </c>
      <c r="E91" t="s">
        <v>58</v>
      </c>
      <c r="F91">
        <v>273</v>
      </c>
      <c r="G91" t="s">
        <v>293</v>
      </c>
      <c r="H91" t="s">
        <v>294</v>
      </c>
      <c r="I91" t="s">
        <v>30</v>
      </c>
      <c r="J91" t="s">
        <v>95</v>
      </c>
      <c r="K91" t="s">
        <v>61</v>
      </c>
      <c r="L91" t="s">
        <v>295</v>
      </c>
      <c r="O91">
        <v>5025634</v>
      </c>
      <c r="P91">
        <v>153</v>
      </c>
      <c r="Q91" t="s">
        <v>98</v>
      </c>
      <c r="R91">
        <v>1169.26</v>
      </c>
      <c r="S91">
        <v>1169.26</v>
      </c>
      <c r="T91">
        <v>0</v>
      </c>
      <c r="U91" t="s">
        <v>34</v>
      </c>
      <c r="X91" t="s">
        <v>296</v>
      </c>
    </row>
    <row r="92" spans="1:26" x14ac:dyDescent="0.25">
      <c r="A92">
        <f t="shared" ca="1" si="8"/>
        <v>0</v>
      </c>
      <c r="C92">
        <f t="shared" ca="1" si="9"/>
        <v>0</v>
      </c>
      <c r="D92" t="s">
        <v>41</v>
      </c>
      <c r="E92" t="s">
        <v>297</v>
      </c>
      <c r="F92">
        <v>1350</v>
      </c>
      <c r="G92" t="s">
        <v>298</v>
      </c>
      <c r="H92" t="s">
        <v>299</v>
      </c>
      <c r="I92" t="s">
        <v>44</v>
      </c>
      <c r="J92" t="s">
        <v>41</v>
      </c>
      <c r="K92" t="s">
        <v>300</v>
      </c>
      <c r="L92" t="s">
        <v>301</v>
      </c>
      <c r="O92">
        <v>5037716</v>
      </c>
      <c r="P92">
        <v>5832</v>
      </c>
      <c r="Q92" t="s">
        <v>302</v>
      </c>
      <c r="R92">
        <v>3507.44</v>
      </c>
      <c r="S92">
        <v>3507.44</v>
      </c>
      <c r="T92">
        <v>0</v>
      </c>
      <c r="U92" t="s">
        <v>34</v>
      </c>
      <c r="V92" s="1">
        <v>46090</v>
      </c>
      <c r="W92" s="1">
        <v>46094</v>
      </c>
      <c r="X92" t="s">
        <v>303</v>
      </c>
    </row>
    <row r="93" spans="1:26" x14ac:dyDescent="0.25">
      <c r="A93">
        <f t="shared" ca="1" si="8"/>
        <v>0</v>
      </c>
      <c r="C93">
        <f t="shared" ca="1" si="9"/>
        <v>0</v>
      </c>
      <c r="D93" t="s">
        <v>285</v>
      </c>
      <c r="E93" t="s">
        <v>297</v>
      </c>
      <c r="F93">
        <v>2290</v>
      </c>
      <c r="G93" t="s">
        <v>304</v>
      </c>
      <c r="H93" t="s">
        <v>305</v>
      </c>
      <c r="I93" t="s">
        <v>187</v>
      </c>
      <c r="J93" t="s">
        <v>285</v>
      </c>
      <c r="K93" t="s">
        <v>300</v>
      </c>
      <c r="L93" t="s">
        <v>306</v>
      </c>
      <c r="M93">
        <v>2000</v>
      </c>
      <c r="N93">
        <v>478</v>
      </c>
      <c r="X93" t="s">
        <v>307</v>
      </c>
    </row>
    <row r="94" spans="1:26" x14ac:dyDescent="0.25">
      <c r="A94">
        <f t="shared" ca="1" si="8"/>
        <v>0</v>
      </c>
      <c r="C94">
        <f t="shared" ca="1" si="9"/>
        <v>0</v>
      </c>
      <c r="D94" t="s">
        <v>285</v>
      </c>
      <c r="E94" t="s">
        <v>27</v>
      </c>
      <c r="F94">
        <v>181</v>
      </c>
      <c r="G94" t="s">
        <v>70</v>
      </c>
      <c r="H94" t="s">
        <v>308</v>
      </c>
      <c r="I94" t="s">
        <v>187</v>
      </c>
      <c r="J94" t="s">
        <v>285</v>
      </c>
      <c r="K94" t="s">
        <v>31</v>
      </c>
      <c r="L94" t="s">
        <v>309</v>
      </c>
      <c r="M94">
        <v>5000</v>
      </c>
      <c r="N94">
        <v>300</v>
      </c>
      <c r="O94">
        <v>5068576</v>
      </c>
      <c r="P94">
        <v>4061</v>
      </c>
      <c r="Q94" t="s">
        <v>310</v>
      </c>
      <c r="R94">
        <v>4432.78</v>
      </c>
      <c r="T94">
        <v>4432.78</v>
      </c>
      <c r="U94" t="s">
        <v>40</v>
      </c>
      <c r="V94" s="1">
        <v>46172</v>
      </c>
      <c r="W94" s="1">
        <v>46203</v>
      </c>
    </row>
    <row r="95" spans="1:26" x14ac:dyDescent="0.25">
      <c r="A95">
        <f t="shared" ca="1" si="8"/>
        <v>0</v>
      </c>
      <c r="C95">
        <f t="shared" ca="1" si="9"/>
        <v>0</v>
      </c>
      <c r="D95" t="s">
        <v>57</v>
      </c>
      <c r="E95" t="s">
        <v>64</v>
      </c>
      <c r="F95">
        <v>591</v>
      </c>
      <c r="G95" t="s">
        <v>311</v>
      </c>
      <c r="H95" t="s">
        <v>312</v>
      </c>
      <c r="I95" t="s">
        <v>44</v>
      </c>
      <c r="J95" t="s">
        <v>57</v>
      </c>
      <c r="K95" t="s">
        <v>67</v>
      </c>
      <c r="L95" t="s">
        <v>313</v>
      </c>
      <c r="M95">
        <v>6000</v>
      </c>
      <c r="N95">
        <v>127</v>
      </c>
      <c r="O95">
        <v>5070621</v>
      </c>
      <c r="P95">
        <v>2391</v>
      </c>
      <c r="Q95" t="s">
        <v>314</v>
      </c>
      <c r="R95">
        <v>3923.98</v>
      </c>
      <c r="T95">
        <v>3923.98</v>
      </c>
      <c r="U95" t="s">
        <v>40</v>
      </c>
      <c r="V95" s="1">
        <v>46272</v>
      </c>
      <c r="W95" s="1">
        <v>46279</v>
      </c>
      <c r="X95" t="s">
        <v>315</v>
      </c>
    </row>
    <row r="96" spans="1:26" x14ac:dyDescent="0.25">
      <c r="A96" t="s">
        <v>316</v>
      </c>
    </row>
    <row r="97" spans="1:26" x14ac:dyDescent="0.25">
      <c r="A97">
        <f t="shared" ref="A97:A120" ca="1" si="10">+ Cmde</f>
        <v>0</v>
      </c>
      <c r="C97">
        <f t="shared" ref="C97:C120" ca="1" si="11">+ Devis</f>
        <v>0</v>
      </c>
      <c r="D97" t="s">
        <v>41</v>
      </c>
      <c r="E97" t="s">
        <v>64</v>
      </c>
      <c r="F97">
        <v>121</v>
      </c>
      <c r="G97" t="s">
        <v>311</v>
      </c>
      <c r="H97" t="s">
        <v>317</v>
      </c>
      <c r="I97" t="s">
        <v>44</v>
      </c>
      <c r="J97" t="s">
        <v>41</v>
      </c>
      <c r="K97" t="s">
        <v>67</v>
      </c>
      <c r="L97" t="s">
        <v>318</v>
      </c>
      <c r="M97">
        <v>18000</v>
      </c>
      <c r="N97">
        <v>110</v>
      </c>
      <c r="O97">
        <v>5070654</v>
      </c>
      <c r="P97">
        <v>5978</v>
      </c>
      <c r="Q97" t="s">
        <v>54</v>
      </c>
      <c r="R97">
        <v>26724.17</v>
      </c>
      <c r="T97">
        <v>26724.17</v>
      </c>
      <c r="U97" t="s">
        <v>107</v>
      </c>
      <c r="V97" s="1">
        <v>46341</v>
      </c>
      <c r="W97" s="1">
        <v>46348</v>
      </c>
    </row>
    <row r="98" spans="1:26" x14ac:dyDescent="0.25">
      <c r="A98">
        <f t="shared" ca="1" si="10"/>
        <v>0</v>
      </c>
      <c r="C98">
        <f t="shared" ca="1" si="11"/>
        <v>0</v>
      </c>
      <c r="D98" t="s">
        <v>26</v>
      </c>
      <c r="E98" t="s">
        <v>64</v>
      </c>
      <c r="F98">
        <v>287</v>
      </c>
      <c r="G98" t="s">
        <v>319</v>
      </c>
      <c r="H98" t="s">
        <v>320</v>
      </c>
      <c r="I98" t="s">
        <v>30</v>
      </c>
      <c r="J98" t="s">
        <v>26</v>
      </c>
      <c r="K98" t="s">
        <v>67</v>
      </c>
      <c r="L98" t="s">
        <v>321</v>
      </c>
      <c r="M98">
        <v>8000</v>
      </c>
      <c r="N98">
        <v>156</v>
      </c>
      <c r="O98">
        <v>5091170</v>
      </c>
      <c r="P98">
        <v>153</v>
      </c>
      <c r="Q98" t="s">
        <v>98</v>
      </c>
      <c r="R98">
        <v>365.2</v>
      </c>
      <c r="T98">
        <v>365.2</v>
      </c>
    </row>
    <row r="99" spans="1:26" x14ac:dyDescent="0.25">
      <c r="A99">
        <f t="shared" ca="1" si="10"/>
        <v>0</v>
      </c>
      <c r="C99">
        <f t="shared" ca="1" si="11"/>
        <v>0</v>
      </c>
      <c r="D99" t="s">
        <v>196</v>
      </c>
      <c r="E99" t="s">
        <v>64</v>
      </c>
      <c r="F99">
        <v>121</v>
      </c>
      <c r="G99" t="s">
        <v>311</v>
      </c>
      <c r="H99" t="s">
        <v>322</v>
      </c>
      <c r="I99" t="s">
        <v>187</v>
      </c>
      <c r="J99" t="s">
        <v>196</v>
      </c>
      <c r="K99" t="s">
        <v>67</v>
      </c>
      <c r="L99" t="s">
        <v>323</v>
      </c>
      <c r="M99">
        <v>5000</v>
      </c>
      <c r="N99">
        <v>92</v>
      </c>
      <c r="O99">
        <v>5091226</v>
      </c>
      <c r="P99">
        <v>2391</v>
      </c>
      <c r="Q99" t="s">
        <v>314</v>
      </c>
      <c r="R99">
        <v>2173.44</v>
      </c>
      <c r="S99">
        <v>2173.44</v>
      </c>
      <c r="T99">
        <v>0</v>
      </c>
      <c r="U99" t="s">
        <v>34</v>
      </c>
    </row>
    <row r="100" spans="1:26" x14ac:dyDescent="0.25">
      <c r="A100">
        <f t="shared" ca="1" si="10"/>
        <v>0</v>
      </c>
      <c r="C100">
        <f t="shared" ca="1" si="11"/>
        <v>0</v>
      </c>
      <c r="D100" t="s">
        <v>95</v>
      </c>
      <c r="E100" t="s">
        <v>49</v>
      </c>
      <c r="F100">
        <v>1503</v>
      </c>
      <c r="G100" t="s">
        <v>324</v>
      </c>
      <c r="H100" t="s">
        <v>325</v>
      </c>
      <c r="I100" t="s">
        <v>30</v>
      </c>
      <c r="J100" t="s">
        <v>95</v>
      </c>
      <c r="K100" t="s">
        <v>326</v>
      </c>
      <c r="L100" t="s">
        <v>327</v>
      </c>
      <c r="O100">
        <v>5123003</v>
      </c>
      <c r="P100">
        <v>24265</v>
      </c>
      <c r="Q100" t="s">
        <v>328</v>
      </c>
      <c r="R100">
        <v>1973.07</v>
      </c>
      <c r="T100">
        <v>1973.07</v>
      </c>
    </row>
    <row r="101" spans="1:26" x14ac:dyDescent="0.25">
      <c r="A101">
        <f t="shared" ca="1" si="10"/>
        <v>0</v>
      </c>
      <c r="C101">
        <f t="shared" ca="1" si="11"/>
        <v>0</v>
      </c>
      <c r="D101" t="s">
        <v>285</v>
      </c>
      <c r="E101" t="s">
        <v>49</v>
      </c>
      <c r="F101">
        <v>2084</v>
      </c>
      <c r="G101" t="s">
        <v>263</v>
      </c>
      <c r="H101" t="s">
        <v>329</v>
      </c>
      <c r="I101" t="s">
        <v>187</v>
      </c>
      <c r="J101" t="s">
        <v>285</v>
      </c>
      <c r="K101" t="s">
        <v>326</v>
      </c>
      <c r="L101" t="s">
        <v>330</v>
      </c>
      <c r="O101">
        <v>5123015</v>
      </c>
      <c r="P101">
        <v>6364</v>
      </c>
      <c r="Q101" t="s">
        <v>331</v>
      </c>
      <c r="R101">
        <v>9641.41</v>
      </c>
      <c r="T101">
        <v>9641.41</v>
      </c>
    </row>
    <row r="102" spans="1:26" x14ac:dyDescent="0.25">
      <c r="A102">
        <f t="shared" ca="1" si="10"/>
        <v>0</v>
      </c>
      <c r="C102">
        <f t="shared" ca="1" si="11"/>
        <v>0</v>
      </c>
      <c r="D102" t="s">
        <v>209</v>
      </c>
      <c r="E102" t="s">
        <v>184</v>
      </c>
      <c r="F102">
        <v>927</v>
      </c>
      <c r="G102" t="s">
        <v>192</v>
      </c>
      <c r="H102" t="s">
        <v>332</v>
      </c>
      <c r="I102" t="s">
        <v>44</v>
      </c>
      <c r="J102" t="s">
        <v>209</v>
      </c>
      <c r="K102" t="s">
        <v>188</v>
      </c>
      <c r="L102" t="s">
        <v>333</v>
      </c>
      <c r="M102">
        <v>25000</v>
      </c>
      <c r="N102">
        <v>452</v>
      </c>
      <c r="O102">
        <v>5025557</v>
      </c>
      <c r="P102">
        <v>6364</v>
      </c>
      <c r="Q102" t="s">
        <v>331</v>
      </c>
      <c r="R102">
        <v>6861.66</v>
      </c>
      <c r="S102">
        <v>5867.26</v>
      </c>
      <c r="T102">
        <v>994.4</v>
      </c>
      <c r="U102" t="s">
        <v>34</v>
      </c>
      <c r="V102" s="1">
        <v>46153</v>
      </c>
      <c r="W102" s="1">
        <v>46164</v>
      </c>
    </row>
    <row r="103" spans="1:26" x14ac:dyDescent="0.25">
      <c r="A103">
        <f t="shared" ca="1" si="10"/>
        <v>0</v>
      </c>
      <c r="C103">
        <f t="shared" ca="1" si="11"/>
        <v>0</v>
      </c>
      <c r="D103" t="s">
        <v>57</v>
      </c>
      <c r="E103" t="s">
        <v>184</v>
      </c>
      <c r="F103">
        <v>953</v>
      </c>
      <c r="G103" t="s">
        <v>334</v>
      </c>
      <c r="H103" t="s">
        <v>335</v>
      </c>
      <c r="I103" t="s">
        <v>44</v>
      </c>
      <c r="J103" t="s">
        <v>57</v>
      </c>
      <c r="K103" t="s">
        <v>188</v>
      </c>
      <c r="L103" t="s">
        <v>336</v>
      </c>
      <c r="M103">
        <v>11000</v>
      </c>
      <c r="N103">
        <v>453</v>
      </c>
      <c r="X103" t="s">
        <v>337</v>
      </c>
    </row>
    <row r="104" spans="1:26" x14ac:dyDescent="0.25">
      <c r="A104">
        <f t="shared" ca="1" si="10"/>
        <v>0</v>
      </c>
      <c r="C104">
        <f t="shared" ca="1" si="11"/>
        <v>0</v>
      </c>
      <c r="D104" t="s">
        <v>57</v>
      </c>
      <c r="E104" t="s">
        <v>184</v>
      </c>
      <c r="F104">
        <v>971</v>
      </c>
      <c r="G104" t="s">
        <v>192</v>
      </c>
      <c r="H104" t="s">
        <v>338</v>
      </c>
      <c r="I104" t="s">
        <v>44</v>
      </c>
      <c r="J104" t="s">
        <v>57</v>
      </c>
      <c r="K104" t="s">
        <v>188</v>
      </c>
      <c r="L104" t="s">
        <v>339</v>
      </c>
      <c r="M104">
        <v>12000</v>
      </c>
      <c r="N104">
        <v>454</v>
      </c>
      <c r="O104">
        <v>4882944</v>
      </c>
      <c r="P104">
        <v>4787</v>
      </c>
      <c r="Q104" t="s">
        <v>206</v>
      </c>
      <c r="R104">
        <v>7165.5</v>
      </c>
      <c r="S104">
        <v>7165.5</v>
      </c>
      <c r="T104">
        <v>0</v>
      </c>
      <c r="U104" t="s">
        <v>40</v>
      </c>
      <c r="V104" s="1">
        <v>46139</v>
      </c>
      <c r="W104" s="1">
        <v>46172</v>
      </c>
    </row>
    <row r="105" spans="1:26" x14ac:dyDescent="0.25">
      <c r="A105">
        <f t="shared" ca="1" si="10"/>
        <v>0</v>
      </c>
      <c r="C105">
        <f t="shared" ca="1" si="11"/>
        <v>0</v>
      </c>
      <c r="D105" t="s">
        <v>209</v>
      </c>
      <c r="E105" t="s">
        <v>184</v>
      </c>
      <c r="F105">
        <v>1277</v>
      </c>
      <c r="G105" t="s">
        <v>185</v>
      </c>
      <c r="H105" t="s">
        <v>340</v>
      </c>
      <c r="I105" t="s">
        <v>44</v>
      </c>
      <c r="J105" t="s">
        <v>209</v>
      </c>
      <c r="K105" t="s">
        <v>188</v>
      </c>
      <c r="L105" t="s">
        <v>341</v>
      </c>
      <c r="M105">
        <v>10000</v>
      </c>
      <c r="N105">
        <v>456</v>
      </c>
      <c r="O105">
        <v>5014181</v>
      </c>
      <c r="P105">
        <v>6364</v>
      </c>
      <c r="Q105" t="s">
        <v>331</v>
      </c>
      <c r="R105">
        <v>3888.32</v>
      </c>
      <c r="S105">
        <v>3888.32</v>
      </c>
      <c r="T105">
        <v>0</v>
      </c>
      <c r="U105" t="s">
        <v>34</v>
      </c>
      <c r="V105" s="1">
        <v>46069</v>
      </c>
      <c r="W105" s="1">
        <v>46078</v>
      </c>
      <c r="Y105" t="s">
        <v>47</v>
      </c>
      <c r="Z105" s="1">
        <v>46063</v>
      </c>
    </row>
    <row r="106" spans="1:26" x14ac:dyDescent="0.25">
      <c r="A106">
        <f t="shared" ca="1" si="10"/>
        <v>0</v>
      </c>
      <c r="C106">
        <f t="shared" ca="1" si="11"/>
        <v>0</v>
      </c>
      <c r="D106" t="s">
        <v>209</v>
      </c>
      <c r="E106" t="s">
        <v>184</v>
      </c>
      <c r="F106">
        <v>1663</v>
      </c>
      <c r="G106" t="s">
        <v>192</v>
      </c>
      <c r="H106" t="s">
        <v>342</v>
      </c>
      <c r="I106" t="s">
        <v>44</v>
      </c>
      <c r="J106" t="s">
        <v>209</v>
      </c>
      <c r="K106" t="s">
        <v>188</v>
      </c>
      <c r="L106" t="s">
        <v>343</v>
      </c>
      <c r="M106">
        <v>3000</v>
      </c>
      <c r="N106">
        <v>457</v>
      </c>
      <c r="O106">
        <v>5025594</v>
      </c>
      <c r="P106">
        <v>4787</v>
      </c>
      <c r="Q106" t="s">
        <v>206</v>
      </c>
      <c r="R106">
        <v>1713.8</v>
      </c>
      <c r="S106">
        <v>1713.8</v>
      </c>
      <c r="T106">
        <v>0</v>
      </c>
      <c r="U106" t="s">
        <v>34</v>
      </c>
    </row>
    <row r="107" spans="1:26" x14ac:dyDescent="0.25">
      <c r="A107">
        <f t="shared" ca="1" si="10"/>
        <v>0</v>
      </c>
      <c r="C107">
        <f t="shared" ca="1" si="11"/>
        <v>0</v>
      </c>
      <c r="D107" t="s">
        <v>26</v>
      </c>
      <c r="E107" t="s">
        <v>184</v>
      </c>
      <c r="F107">
        <v>846</v>
      </c>
      <c r="G107" t="s">
        <v>192</v>
      </c>
      <c r="H107" t="s">
        <v>344</v>
      </c>
      <c r="I107" t="s">
        <v>30</v>
      </c>
      <c r="J107" t="s">
        <v>26</v>
      </c>
      <c r="K107" t="s">
        <v>188</v>
      </c>
      <c r="L107" t="s">
        <v>345</v>
      </c>
      <c r="M107">
        <v>16000</v>
      </c>
      <c r="N107">
        <v>458</v>
      </c>
      <c r="O107">
        <v>5085684</v>
      </c>
      <c r="P107">
        <v>480</v>
      </c>
      <c r="Q107" t="s">
        <v>208</v>
      </c>
      <c r="R107">
        <v>18558.07</v>
      </c>
      <c r="T107">
        <v>18558.07</v>
      </c>
    </row>
    <row r="108" spans="1:26" x14ac:dyDescent="0.25">
      <c r="A108">
        <f t="shared" ca="1" si="10"/>
        <v>0</v>
      </c>
      <c r="C108">
        <f t="shared" ca="1" si="11"/>
        <v>0</v>
      </c>
      <c r="D108" t="s">
        <v>95</v>
      </c>
      <c r="E108" t="s">
        <v>184</v>
      </c>
      <c r="F108">
        <v>899</v>
      </c>
      <c r="G108" t="s">
        <v>192</v>
      </c>
      <c r="H108" t="s">
        <v>346</v>
      </c>
      <c r="I108" t="s">
        <v>30</v>
      </c>
      <c r="J108" t="s">
        <v>95</v>
      </c>
      <c r="K108" t="s">
        <v>188</v>
      </c>
      <c r="L108" t="s">
        <v>347</v>
      </c>
      <c r="M108">
        <v>5000</v>
      </c>
      <c r="N108">
        <v>459</v>
      </c>
      <c r="X108" t="s">
        <v>40</v>
      </c>
    </row>
    <row r="109" spans="1:26" x14ac:dyDescent="0.25">
      <c r="A109">
        <f t="shared" ca="1" si="10"/>
        <v>0</v>
      </c>
      <c r="C109">
        <f t="shared" ca="1" si="11"/>
        <v>0</v>
      </c>
      <c r="D109" t="s">
        <v>35</v>
      </c>
      <c r="E109" t="s">
        <v>184</v>
      </c>
      <c r="F109">
        <v>911</v>
      </c>
      <c r="G109" t="s">
        <v>334</v>
      </c>
      <c r="H109" t="s">
        <v>348</v>
      </c>
      <c r="I109" t="s">
        <v>30</v>
      </c>
      <c r="J109" t="s">
        <v>35</v>
      </c>
      <c r="K109" t="s">
        <v>188</v>
      </c>
      <c r="L109" t="s">
        <v>349</v>
      </c>
      <c r="M109">
        <v>41000</v>
      </c>
      <c r="N109">
        <v>460</v>
      </c>
      <c r="X109" t="s">
        <v>350</v>
      </c>
    </row>
    <row r="110" spans="1:26" x14ac:dyDescent="0.25">
      <c r="A110">
        <f t="shared" ca="1" si="10"/>
        <v>0</v>
      </c>
      <c r="C110">
        <f t="shared" ca="1" si="11"/>
        <v>0</v>
      </c>
      <c r="D110" t="s">
        <v>35</v>
      </c>
      <c r="E110" t="s">
        <v>184</v>
      </c>
      <c r="F110">
        <v>917</v>
      </c>
      <c r="G110" t="s">
        <v>334</v>
      </c>
      <c r="H110" t="s">
        <v>351</v>
      </c>
      <c r="I110" t="s">
        <v>30</v>
      </c>
      <c r="J110" t="s">
        <v>35</v>
      </c>
      <c r="K110" t="s">
        <v>188</v>
      </c>
      <c r="L110" t="s">
        <v>352</v>
      </c>
      <c r="M110">
        <v>30000</v>
      </c>
      <c r="N110">
        <v>461</v>
      </c>
      <c r="O110">
        <v>5031789</v>
      </c>
      <c r="P110">
        <v>6364</v>
      </c>
      <c r="Q110" t="s">
        <v>331</v>
      </c>
      <c r="R110">
        <v>4475.2</v>
      </c>
      <c r="S110">
        <v>4475.2</v>
      </c>
      <c r="T110">
        <v>0</v>
      </c>
      <c r="U110" t="s">
        <v>34</v>
      </c>
      <c r="V110" s="1">
        <v>46090</v>
      </c>
      <c r="W110" s="1">
        <v>46094</v>
      </c>
    </row>
    <row r="111" spans="1:26" x14ac:dyDescent="0.25">
      <c r="A111">
        <f t="shared" ca="1" si="10"/>
        <v>0</v>
      </c>
      <c r="C111">
        <f t="shared" ca="1" si="11"/>
        <v>0</v>
      </c>
      <c r="D111" t="s">
        <v>26</v>
      </c>
      <c r="E111" t="s">
        <v>184</v>
      </c>
      <c r="F111">
        <v>917</v>
      </c>
      <c r="G111" t="s">
        <v>334</v>
      </c>
      <c r="H111" t="s">
        <v>351</v>
      </c>
      <c r="I111" t="s">
        <v>30</v>
      </c>
      <c r="J111" t="s">
        <v>26</v>
      </c>
      <c r="K111" t="s">
        <v>188</v>
      </c>
      <c r="L111" t="s">
        <v>353</v>
      </c>
      <c r="M111">
        <v>10000</v>
      </c>
      <c r="N111">
        <v>462</v>
      </c>
      <c r="O111">
        <v>5043172</v>
      </c>
      <c r="P111">
        <v>6813</v>
      </c>
      <c r="Q111" t="s">
        <v>354</v>
      </c>
      <c r="R111">
        <v>10730.81</v>
      </c>
      <c r="T111">
        <v>10730.81</v>
      </c>
    </row>
    <row r="112" spans="1:26" x14ac:dyDescent="0.25">
      <c r="A112">
        <f t="shared" ca="1" si="10"/>
        <v>0</v>
      </c>
      <c r="C112">
        <f t="shared" ca="1" si="11"/>
        <v>0</v>
      </c>
      <c r="D112" t="s">
        <v>355</v>
      </c>
      <c r="E112" t="s">
        <v>184</v>
      </c>
      <c r="F112">
        <v>925</v>
      </c>
      <c r="G112" t="s">
        <v>334</v>
      </c>
      <c r="H112" t="s">
        <v>356</v>
      </c>
      <c r="I112" t="s">
        <v>30</v>
      </c>
      <c r="J112" t="s">
        <v>355</v>
      </c>
      <c r="K112" t="s">
        <v>188</v>
      </c>
      <c r="L112" t="s">
        <v>357</v>
      </c>
      <c r="M112">
        <v>10000</v>
      </c>
      <c r="N112">
        <v>463</v>
      </c>
      <c r="O112">
        <v>5071692</v>
      </c>
      <c r="P112">
        <v>4061</v>
      </c>
      <c r="Q112" t="s">
        <v>310</v>
      </c>
      <c r="R112">
        <v>11491.36</v>
      </c>
      <c r="S112">
        <v>11491.36</v>
      </c>
      <c r="T112">
        <v>0</v>
      </c>
      <c r="U112" t="s">
        <v>34</v>
      </c>
      <c r="V112" s="1">
        <v>46223</v>
      </c>
      <c r="W112" s="1">
        <v>46228</v>
      </c>
    </row>
    <row r="113" spans="1:24" x14ac:dyDescent="0.25">
      <c r="A113">
        <f t="shared" ca="1" si="10"/>
        <v>0</v>
      </c>
      <c r="C113">
        <f t="shared" ca="1" si="11"/>
        <v>0</v>
      </c>
      <c r="D113" t="s">
        <v>88</v>
      </c>
      <c r="E113" t="s">
        <v>184</v>
      </c>
      <c r="F113">
        <v>1116</v>
      </c>
      <c r="G113" t="s">
        <v>192</v>
      </c>
      <c r="H113" t="s">
        <v>199</v>
      </c>
      <c r="I113" t="s">
        <v>30</v>
      </c>
      <c r="J113" t="s">
        <v>88</v>
      </c>
      <c r="K113" t="s">
        <v>188</v>
      </c>
      <c r="L113" t="s">
        <v>358</v>
      </c>
      <c r="M113">
        <v>8000</v>
      </c>
      <c r="N113">
        <v>464</v>
      </c>
      <c r="X113" t="s">
        <v>40</v>
      </c>
    </row>
    <row r="114" spans="1:24" x14ac:dyDescent="0.25">
      <c r="A114">
        <f t="shared" ca="1" si="10"/>
        <v>0</v>
      </c>
      <c r="C114">
        <f t="shared" ca="1" si="11"/>
        <v>0</v>
      </c>
      <c r="D114" t="s">
        <v>285</v>
      </c>
      <c r="E114" t="s">
        <v>297</v>
      </c>
      <c r="F114">
        <v>1352</v>
      </c>
      <c r="G114" t="s">
        <v>359</v>
      </c>
      <c r="H114" t="s">
        <v>360</v>
      </c>
      <c r="I114" t="s">
        <v>187</v>
      </c>
      <c r="J114" t="s">
        <v>285</v>
      </c>
      <c r="K114" t="s">
        <v>300</v>
      </c>
      <c r="L114" t="s">
        <v>361</v>
      </c>
      <c r="M114">
        <v>2000</v>
      </c>
      <c r="N114">
        <v>466</v>
      </c>
      <c r="O114">
        <v>5014572</v>
      </c>
      <c r="P114">
        <v>28284</v>
      </c>
      <c r="Q114" t="s">
        <v>362</v>
      </c>
      <c r="R114">
        <v>1870</v>
      </c>
      <c r="S114">
        <v>1870</v>
      </c>
      <c r="T114">
        <v>0</v>
      </c>
      <c r="U114" t="s">
        <v>34</v>
      </c>
      <c r="V114" s="1">
        <v>46034</v>
      </c>
      <c r="W114" s="1">
        <v>46036</v>
      </c>
    </row>
    <row r="115" spans="1:24" x14ac:dyDescent="0.25">
      <c r="A115">
        <f t="shared" ca="1" si="10"/>
        <v>0</v>
      </c>
      <c r="C115">
        <f t="shared" ca="1" si="11"/>
        <v>0</v>
      </c>
      <c r="D115" t="s">
        <v>285</v>
      </c>
      <c r="E115" t="s">
        <v>297</v>
      </c>
      <c r="F115">
        <v>1352</v>
      </c>
      <c r="G115" t="s">
        <v>359</v>
      </c>
      <c r="H115" t="s">
        <v>360</v>
      </c>
      <c r="I115" t="s">
        <v>187</v>
      </c>
      <c r="J115" t="s">
        <v>285</v>
      </c>
      <c r="K115" t="s">
        <v>300</v>
      </c>
      <c r="L115" t="s">
        <v>363</v>
      </c>
      <c r="M115">
        <v>10000</v>
      </c>
      <c r="N115">
        <v>467</v>
      </c>
      <c r="O115">
        <v>5089245</v>
      </c>
      <c r="P115">
        <v>7185</v>
      </c>
      <c r="Q115" t="s">
        <v>364</v>
      </c>
      <c r="R115">
        <v>19503</v>
      </c>
      <c r="T115">
        <v>19503</v>
      </c>
      <c r="U115" t="s">
        <v>40</v>
      </c>
      <c r="V115" s="1">
        <v>46204</v>
      </c>
      <c r="W115" s="1">
        <v>46220</v>
      </c>
    </row>
    <row r="116" spans="1:24" x14ac:dyDescent="0.25">
      <c r="A116">
        <f t="shared" ca="1" si="10"/>
        <v>0</v>
      </c>
      <c r="C116">
        <f t="shared" ca="1" si="11"/>
        <v>0</v>
      </c>
      <c r="D116" t="s">
        <v>285</v>
      </c>
      <c r="E116" t="s">
        <v>297</v>
      </c>
      <c r="F116">
        <v>1451</v>
      </c>
      <c r="G116" t="s">
        <v>304</v>
      </c>
      <c r="H116" t="s">
        <v>365</v>
      </c>
      <c r="I116" t="s">
        <v>187</v>
      </c>
      <c r="J116" t="s">
        <v>285</v>
      </c>
      <c r="K116" t="s">
        <v>300</v>
      </c>
      <c r="L116" t="s">
        <v>366</v>
      </c>
      <c r="M116">
        <v>8000</v>
      </c>
      <c r="N116">
        <v>468</v>
      </c>
      <c r="O116">
        <v>5013948</v>
      </c>
      <c r="P116">
        <v>21225</v>
      </c>
      <c r="Q116" t="s">
        <v>367</v>
      </c>
      <c r="R116">
        <v>7205.4</v>
      </c>
      <c r="S116">
        <v>7205.4</v>
      </c>
      <c r="T116">
        <v>0</v>
      </c>
      <c r="U116" t="s">
        <v>34</v>
      </c>
      <c r="V116" s="1">
        <v>46048</v>
      </c>
      <c r="W116" s="1">
        <v>46052</v>
      </c>
    </row>
    <row r="117" spans="1:24" x14ac:dyDescent="0.25">
      <c r="A117">
        <f t="shared" ca="1" si="10"/>
        <v>0</v>
      </c>
      <c r="C117">
        <f t="shared" ca="1" si="11"/>
        <v>0</v>
      </c>
      <c r="D117" t="s">
        <v>368</v>
      </c>
      <c r="E117" t="s">
        <v>297</v>
      </c>
      <c r="F117">
        <v>1453</v>
      </c>
      <c r="G117" t="s">
        <v>298</v>
      </c>
      <c r="H117" t="s">
        <v>369</v>
      </c>
      <c r="I117" t="s">
        <v>187</v>
      </c>
      <c r="J117" t="s">
        <v>368</v>
      </c>
      <c r="K117" t="s">
        <v>300</v>
      </c>
      <c r="L117" t="s">
        <v>370</v>
      </c>
      <c r="M117">
        <v>5000</v>
      </c>
      <c r="N117">
        <v>469</v>
      </c>
      <c r="X117" t="s">
        <v>371</v>
      </c>
    </row>
    <row r="118" spans="1:24" x14ac:dyDescent="0.25">
      <c r="A118">
        <f t="shared" ca="1" si="10"/>
        <v>0</v>
      </c>
      <c r="C118">
        <f t="shared" ca="1" si="11"/>
        <v>0</v>
      </c>
      <c r="D118" t="s">
        <v>221</v>
      </c>
      <c r="E118" t="s">
        <v>297</v>
      </c>
      <c r="F118">
        <v>2001</v>
      </c>
      <c r="G118" t="s">
        <v>372</v>
      </c>
      <c r="H118" t="s">
        <v>373</v>
      </c>
      <c r="I118" t="s">
        <v>187</v>
      </c>
      <c r="J118" t="s">
        <v>221</v>
      </c>
      <c r="K118" t="s">
        <v>300</v>
      </c>
      <c r="L118" t="s">
        <v>374</v>
      </c>
      <c r="M118">
        <v>5000</v>
      </c>
      <c r="N118">
        <v>471</v>
      </c>
      <c r="O118">
        <v>5015501</v>
      </c>
      <c r="P118">
        <v>28284</v>
      </c>
      <c r="Q118" t="s">
        <v>362</v>
      </c>
      <c r="R118">
        <v>4708</v>
      </c>
      <c r="S118">
        <v>4708</v>
      </c>
      <c r="T118">
        <v>0</v>
      </c>
      <c r="U118" t="s">
        <v>34</v>
      </c>
      <c r="V118" s="1">
        <v>46041</v>
      </c>
      <c r="W118" s="1">
        <v>46044</v>
      </c>
    </row>
    <row r="119" spans="1:24" x14ac:dyDescent="0.25">
      <c r="A119">
        <f t="shared" ca="1" si="10"/>
        <v>0</v>
      </c>
      <c r="C119">
        <f t="shared" ca="1" si="11"/>
        <v>0</v>
      </c>
      <c r="D119" t="s">
        <v>285</v>
      </c>
      <c r="E119" t="s">
        <v>297</v>
      </c>
      <c r="F119">
        <v>2001</v>
      </c>
      <c r="G119" t="s">
        <v>372</v>
      </c>
      <c r="H119" t="s">
        <v>375</v>
      </c>
      <c r="I119" t="s">
        <v>187</v>
      </c>
      <c r="J119" t="s">
        <v>285</v>
      </c>
      <c r="K119" t="s">
        <v>300</v>
      </c>
      <c r="L119" t="s">
        <v>376</v>
      </c>
      <c r="M119">
        <v>15000</v>
      </c>
      <c r="N119">
        <v>472</v>
      </c>
      <c r="O119">
        <v>5024579</v>
      </c>
      <c r="P119">
        <v>28284</v>
      </c>
      <c r="Q119" t="s">
        <v>362</v>
      </c>
      <c r="R119">
        <v>14654.2</v>
      </c>
      <c r="S119">
        <v>14654.2</v>
      </c>
      <c r="T119">
        <v>0</v>
      </c>
      <c r="U119" t="s">
        <v>34</v>
      </c>
      <c r="V119" s="1">
        <v>46062</v>
      </c>
      <c r="W119" s="1">
        <v>46080</v>
      </c>
    </row>
    <row r="120" spans="1:24" x14ac:dyDescent="0.25">
      <c r="A120">
        <f t="shared" ca="1" si="10"/>
        <v>0</v>
      </c>
      <c r="C120">
        <f t="shared" ca="1" si="11"/>
        <v>0</v>
      </c>
      <c r="D120" t="s">
        <v>285</v>
      </c>
      <c r="E120" t="s">
        <v>297</v>
      </c>
      <c r="F120">
        <v>2001</v>
      </c>
      <c r="G120" t="s">
        <v>372</v>
      </c>
      <c r="H120" t="s">
        <v>377</v>
      </c>
      <c r="I120" t="s">
        <v>187</v>
      </c>
      <c r="J120" t="s">
        <v>285</v>
      </c>
      <c r="K120" t="s">
        <v>300</v>
      </c>
      <c r="L120" t="s">
        <v>378</v>
      </c>
      <c r="M120">
        <v>10000</v>
      </c>
      <c r="N120">
        <v>473</v>
      </c>
      <c r="O120">
        <v>5083913</v>
      </c>
      <c r="P120">
        <v>28284</v>
      </c>
      <c r="Q120" t="s">
        <v>362</v>
      </c>
      <c r="R120">
        <v>17682.830000000002</v>
      </c>
      <c r="S120">
        <v>17682.830000000002</v>
      </c>
      <c r="T120">
        <v>0</v>
      </c>
      <c r="U120" t="s">
        <v>34</v>
      </c>
      <c r="V120" s="1">
        <v>46195</v>
      </c>
      <c r="W120" s="1">
        <v>46213</v>
      </c>
      <c r="X120" t="s">
        <v>379</v>
      </c>
    </row>
    <row r="124" spans="1:24" x14ac:dyDescent="0.25">
      <c r="A124">
        <f t="shared" ref="A124:A155" ca="1" si="12">+ Cmde</f>
        <v>0</v>
      </c>
      <c r="C124">
        <f t="shared" ref="C124:C155" ca="1" si="13">+ Devis</f>
        <v>0</v>
      </c>
      <c r="D124" t="s">
        <v>285</v>
      </c>
      <c r="E124" t="s">
        <v>297</v>
      </c>
      <c r="F124">
        <v>2001</v>
      </c>
      <c r="G124" t="s">
        <v>372</v>
      </c>
      <c r="H124" t="s">
        <v>380</v>
      </c>
      <c r="I124" t="s">
        <v>187</v>
      </c>
      <c r="J124" t="s">
        <v>285</v>
      </c>
      <c r="K124" t="s">
        <v>300</v>
      </c>
      <c r="L124" t="s">
        <v>381</v>
      </c>
      <c r="M124">
        <v>7000</v>
      </c>
      <c r="N124">
        <v>475</v>
      </c>
      <c r="O124">
        <v>5014719</v>
      </c>
      <c r="P124">
        <v>28284</v>
      </c>
      <c r="Q124" t="s">
        <v>362</v>
      </c>
      <c r="R124">
        <v>4807</v>
      </c>
      <c r="S124">
        <v>4807</v>
      </c>
      <c r="T124">
        <v>0</v>
      </c>
      <c r="U124" t="s">
        <v>34</v>
      </c>
      <c r="V124" s="1">
        <v>46035</v>
      </c>
      <c r="W124" s="1">
        <v>46038</v>
      </c>
    </row>
    <row r="125" spans="1:24" x14ac:dyDescent="0.25">
      <c r="A125">
        <f t="shared" ca="1" si="12"/>
        <v>0</v>
      </c>
      <c r="C125">
        <f t="shared" ca="1" si="13"/>
        <v>0</v>
      </c>
      <c r="D125" t="s">
        <v>221</v>
      </c>
      <c r="E125" t="s">
        <v>297</v>
      </c>
      <c r="F125">
        <v>2001</v>
      </c>
      <c r="G125" t="s">
        <v>372</v>
      </c>
      <c r="H125" t="s">
        <v>380</v>
      </c>
      <c r="I125" t="s">
        <v>187</v>
      </c>
      <c r="J125" t="s">
        <v>221</v>
      </c>
      <c r="K125" t="s">
        <v>300</v>
      </c>
      <c r="L125" t="s">
        <v>382</v>
      </c>
      <c r="M125">
        <v>3000</v>
      </c>
      <c r="N125">
        <v>476</v>
      </c>
      <c r="O125">
        <v>5014595</v>
      </c>
      <c r="P125">
        <v>28284</v>
      </c>
      <c r="Q125" t="s">
        <v>362</v>
      </c>
      <c r="R125">
        <v>2813.25</v>
      </c>
      <c r="S125">
        <v>2813.25</v>
      </c>
      <c r="T125">
        <v>0</v>
      </c>
      <c r="U125" t="s">
        <v>34</v>
      </c>
      <c r="V125" s="1">
        <v>46036</v>
      </c>
      <c r="W125" s="1">
        <v>46038</v>
      </c>
    </row>
    <row r="126" spans="1:24" x14ac:dyDescent="0.25">
      <c r="A126">
        <f t="shared" ca="1" si="12"/>
        <v>0</v>
      </c>
      <c r="C126">
        <f t="shared" ca="1" si="13"/>
        <v>0</v>
      </c>
      <c r="D126" t="s">
        <v>285</v>
      </c>
      <c r="E126" t="s">
        <v>297</v>
      </c>
      <c r="F126">
        <v>2020</v>
      </c>
      <c r="G126" t="s">
        <v>383</v>
      </c>
      <c r="H126" t="s">
        <v>384</v>
      </c>
      <c r="I126" t="s">
        <v>187</v>
      </c>
      <c r="J126" t="s">
        <v>285</v>
      </c>
      <c r="K126" t="s">
        <v>300</v>
      </c>
      <c r="L126" t="s">
        <v>378</v>
      </c>
      <c r="M126">
        <v>8000</v>
      </c>
      <c r="N126">
        <v>477</v>
      </c>
      <c r="O126">
        <v>5085450</v>
      </c>
      <c r="P126">
        <v>8168</v>
      </c>
      <c r="Q126" t="s">
        <v>385</v>
      </c>
      <c r="R126">
        <v>1725.19</v>
      </c>
      <c r="S126">
        <v>1725.19</v>
      </c>
      <c r="T126">
        <v>0</v>
      </c>
      <c r="U126" t="s">
        <v>34</v>
      </c>
      <c r="V126" s="1">
        <v>46209</v>
      </c>
      <c r="W126" s="1">
        <v>46213</v>
      </c>
    </row>
    <row r="127" spans="1:24" x14ac:dyDescent="0.25">
      <c r="A127">
        <f t="shared" ca="1" si="12"/>
        <v>0</v>
      </c>
      <c r="C127">
        <f t="shared" ca="1" si="13"/>
        <v>0</v>
      </c>
      <c r="D127" t="s">
        <v>285</v>
      </c>
      <c r="E127" t="s">
        <v>297</v>
      </c>
      <c r="F127">
        <v>2366</v>
      </c>
      <c r="G127" t="s">
        <v>383</v>
      </c>
      <c r="H127" t="s">
        <v>386</v>
      </c>
      <c r="I127" t="s">
        <v>187</v>
      </c>
      <c r="J127" t="s">
        <v>285</v>
      </c>
      <c r="K127" t="s">
        <v>300</v>
      </c>
      <c r="L127" t="s">
        <v>387</v>
      </c>
      <c r="M127">
        <v>5000</v>
      </c>
      <c r="N127">
        <v>479</v>
      </c>
      <c r="O127">
        <v>5014387</v>
      </c>
      <c r="P127">
        <v>28284</v>
      </c>
      <c r="Q127" t="s">
        <v>362</v>
      </c>
      <c r="R127">
        <v>4959.8999999999996</v>
      </c>
      <c r="S127">
        <v>4959.8999999999996</v>
      </c>
      <c r="T127">
        <v>0</v>
      </c>
      <c r="U127" t="s">
        <v>34</v>
      </c>
      <c r="V127" s="1">
        <v>46041</v>
      </c>
      <c r="W127" s="1">
        <v>46045</v>
      </c>
    </row>
    <row r="128" spans="1:24" x14ac:dyDescent="0.25">
      <c r="A128">
        <f t="shared" ca="1" si="12"/>
        <v>0</v>
      </c>
      <c r="C128">
        <f t="shared" ca="1" si="13"/>
        <v>0</v>
      </c>
      <c r="D128" t="s">
        <v>41</v>
      </c>
      <c r="E128" t="s">
        <v>297</v>
      </c>
      <c r="F128">
        <v>2033</v>
      </c>
      <c r="G128" t="s">
        <v>383</v>
      </c>
      <c r="H128" t="s">
        <v>388</v>
      </c>
      <c r="I128" t="s">
        <v>44</v>
      </c>
      <c r="J128" t="s">
        <v>41</v>
      </c>
      <c r="K128" t="s">
        <v>300</v>
      </c>
      <c r="L128" t="s">
        <v>389</v>
      </c>
      <c r="M128">
        <v>2000</v>
      </c>
      <c r="N128">
        <v>480</v>
      </c>
    </row>
    <row r="129" spans="1:24" x14ac:dyDescent="0.25">
      <c r="A129">
        <f t="shared" ca="1" si="12"/>
        <v>0</v>
      </c>
      <c r="C129">
        <f t="shared" ca="1" si="13"/>
        <v>0</v>
      </c>
      <c r="D129" t="s">
        <v>236</v>
      </c>
      <c r="E129" t="s">
        <v>297</v>
      </c>
      <c r="F129">
        <v>2020</v>
      </c>
      <c r="G129" t="s">
        <v>383</v>
      </c>
      <c r="H129" t="s">
        <v>390</v>
      </c>
      <c r="I129" t="s">
        <v>44</v>
      </c>
      <c r="J129" t="s">
        <v>236</v>
      </c>
      <c r="K129" t="s">
        <v>300</v>
      </c>
      <c r="L129" t="s">
        <v>391</v>
      </c>
      <c r="M129">
        <v>2500</v>
      </c>
      <c r="N129">
        <v>481</v>
      </c>
      <c r="O129">
        <v>5032297</v>
      </c>
      <c r="P129">
        <v>8168</v>
      </c>
      <c r="Q129" t="s">
        <v>385</v>
      </c>
      <c r="R129">
        <v>1849.17</v>
      </c>
      <c r="S129">
        <v>1849.17</v>
      </c>
      <c r="T129">
        <v>0</v>
      </c>
      <c r="U129" t="s">
        <v>34</v>
      </c>
      <c r="V129" s="1">
        <v>46077</v>
      </c>
      <c r="W129" s="1">
        <v>46080</v>
      </c>
    </row>
    <row r="130" spans="1:24" x14ac:dyDescent="0.25">
      <c r="A130">
        <f t="shared" ca="1" si="12"/>
        <v>0</v>
      </c>
      <c r="C130">
        <f t="shared" ca="1" si="13"/>
        <v>0</v>
      </c>
      <c r="D130" t="s">
        <v>41</v>
      </c>
      <c r="E130" t="s">
        <v>297</v>
      </c>
      <c r="F130">
        <v>2289</v>
      </c>
      <c r="G130" t="s">
        <v>304</v>
      </c>
      <c r="H130" t="s">
        <v>392</v>
      </c>
      <c r="I130" t="s">
        <v>44</v>
      </c>
      <c r="J130" t="s">
        <v>41</v>
      </c>
      <c r="K130" t="s">
        <v>300</v>
      </c>
      <c r="L130" t="s">
        <v>393</v>
      </c>
      <c r="M130">
        <v>5000</v>
      </c>
      <c r="N130">
        <v>482</v>
      </c>
      <c r="X130" t="s">
        <v>394</v>
      </c>
    </row>
    <row r="131" spans="1:24" x14ac:dyDescent="0.25">
      <c r="A131">
        <f t="shared" ca="1" si="12"/>
        <v>0</v>
      </c>
      <c r="C131">
        <f t="shared" ca="1" si="13"/>
        <v>0</v>
      </c>
      <c r="D131" t="s">
        <v>236</v>
      </c>
      <c r="E131" t="s">
        <v>297</v>
      </c>
      <c r="F131">
        <v>2290</v>
      </c>
      <c r="G131" t="s">
        <v>304</v>
      </c>
      <c r="H131" t="s">
        <v>395</v>
      </c>
      <c r="I131" t="s">
        <v>44</v>
      </c>
      <c r="J131" t="s">
        <v>236</v>
      </c>
      <c r="K131" t="s">
        <v>300</v>
      </c>
      <c r="L131" t="s">
        <v>396</v>
      </c>
      <c r="M131">
        <v>5000</v>
      </c>
      <c r="N131">
        <v>483</v>
      </c>
      <c r="O131">
        <v>5037738</v>
      </c>
      <c r="P131">
        <v>8168</v>
      </c>
      <c r="Q131" t="s">
        <v>385</v>
      </c>
      <c r="R131">
        <v>2621.76</v>
      </c>
      <c r="S131">
        <v>2621.76</v>
      </c>
      <c r="T131">
        <v>0</v>
      </c>
      <c r="U131" t="s">
        <v>34</v>
      </c>
      <c r="V131" s="1">
        <v>46090</v>
      </c>
      <c r="W131" s="1">
        <v>46092</v>
      </c>
    </row>
    <row r="132" spans="1:24" x14ac:dyDescent="0.25">
      <c r="A132">
        <f t="shared" ca="1" si="12"/>
        <v>0</v>
      </c>
      <c r="C132">
        <f t="shared" ca="1" si="13"/>
        <v>0</v>
      </c>
      <c r="D132" t="s">
        <v>236</v>
      </c>
      <c r="E132" t="s">
        <v>297</v>
      </c>
      <c r="F132">
        <v>2290</v>
      </c>
      <c r="G132" t="s">
        <v>304</v>
      </c>
      <c r="H132" t="s">
        <v>305</v>
      </c>
      <c r="I132" t="s">
        <v>44</v>
      </c>
      <c r="J132" t="s">
        <v>236</v>
      </c>
      <c r="K132" t="s">
        <v>300</v>
      </c>
      <c r="L132" t="s">
        <v>397</v>
      </c>
      <c r="M132">
        <v>5000</v>
      </c>
      <c r="N132">
        <v>484</v>
      </c>
      <c r="O132">
        <v>5037731</v>
      </c>
      <c r="P132">
        <v>8168</v>
      </c>
      <c r="Q132" t="s">
        <v>385</v>
      </c>
      <c r="R132">
        <v>7535.48</v>
      </c>
      <c r="S132">
        <v>7535.48</v>
      </c>
      <c r="T132">
        <v>0</v>
      </c>
      <c r="U132" t="s">
        <v>34</v>
      </c>
      <c r="V132" s="1">
        <v>46090</v>
      </c>
      <c r="W132" s="1">
        <v>46094</v>
      </c>
    </row>
    <row r="133" spans="1:24" x14ac:dyDescent="0.25">
      <c r="A133">
        <f t="shared" ca="1" si="12"/>
        <v>0</v>
      </c>
      <c r="C133">
        <f t="shared" ca="1" si="13"/>
        <v>0</v>
      </c>
      <c r="D133" t="s">
        <v>203</v>
      </c>
      <c r="E133" t="s">
        <v>297</v>
      </c>
      <c r="F133">
        <v>2012</v>
      </c>
      <c r="G133" t="s">
        <v>383</v>
      </c>
      <c r="H133" t="s">
        <v>398</v>
      </c>
      <c r="I133" t="s">
        <v>44</v>
      </c>
      <c r="J133" t="s">
        <v>203</v>
      </c>
      <c r="K133" t="s">
        <v>300</v>
      </c>
      <c r="L133" t="s">
        <v>399</v>
      </c>
      <c r="M133">
        <v>5000</v>
      </c>
      <c r="N133">
        <v>485</v>
      </c>
      <c r="X133" t="s">
        <v>175</v>
      </c>
    </row>
    <row r="134" spans="1:24" x14ac:dyDescent="0.25">
      <c r="A134">
        <f t="shared" ca="1" si="12"/>
        <v>0</v>
      </c>
      <c r="C134">
        <f t="shared" ca="1" si="13"/>
        <v>0</v>
      </c>
      <c r="D134" t="s">
        <v>209</v>
      </c>
      <c r="E134" t="s">
        <v>297</v>
      </c>
      <c r="F134">
        <v>1352</v>
      </c>
      <c r="G134" t="s">
        <v>359</v>
      </c>
      <c r="H134" t="s">
        <v>400</v>
      </c>
      <c r="I134" t="s">
        <v>44</v>
      </c>
      <c r="J134" t="s">
        <v>209</v>
      </c>
      <c r="K134" t="s">
        <v>300</v>
      </c>
      <c r="L134" t="s">
        <v>401</v>
      </c>
      <c r="M134">
        <v>6000</v>
      </c>
      <c r="N134">
        <v>486</v>
      </c>
      <c r="O134">
        <v>5019801</v>
      </c>
      <c r="P134">
        <v>28284</v>
      </c>
      <c r="Q134" t="s">
        <v>362</v>
      </c>
      <c r="R134">
        <v>5432.9</v>
      </c>
      <c r="S134">
        <v>5432.9</v>
      </c>
      <c r="T134">
        <v>0</v>
      </c>
      <c r="U134" t="s">
        <v>34</v>
      </c>
      <c r="V134" s="1">
        <v>46048</v>
      </c>
      <c r="W134" s="1">
        <v>46052</v>
      </c>
    </row>
    <row r="135" spans="1:24" x14ac:dyDescent="0.25">
      <c r="A135">
        <f t="shared" ca="1" si="12"/>
        <v>0</v>
      </c>
      <c r="C135">
        <f t="shared" ca="1" si="13"/>
        <v>0</v>
      </c>
      <c r="D135" t="s">
        <v>209</v>
      </c>
      <c r="E135" t="s">
        <v>297</v>
      </c>
      <c r="F135">
        <v>2001</v>
      </c>
      <c r="G135" t="s">
        <v>372</v>
      </c>
      <c r="H135" t="s">
        <v>375</v>
      </c>
      <c r="I135" t="s">
        <v>44</v>
      </c>
      <c r="J135" t="s">
        <v>209</v>
      </c>
      <c r="K135" t="s">
        <v>300</v>
      </c>
      <c r="L135" t="s">
        <v>402</v>
      </c>
      <c r="M135">
        <v>7000</v>
      </c>
      <c r="N135">
        <v>487</v>
      </c>
      <c r="O135">
        <v>5024479</v>
      </c>
      <c r="P135">
        <v>28284</v>
      </c>
      <c r="Q135" t="s">
        <v>362</v>
      </c>
      <c r="R135">
        <v>5470.85</v>
      </c>
      <c r="S135">
        <v>5470.85</v>
      </c>
      <c r="T135">
        <v>0</v>
      </c>
      <c r="U135" t="s">
        <v>34</v>
      </c>
      <c r="V135" s="1">
        <v>46062</v>
      </c>
      <c r="W135" s="1">
        <v>46066</v>
      </c>
    </row>
    <row r="136" spans="1:24" x14ac:dyDescent="0.25">
      <c r="A136">
        <f t="shared" ca="1" si="12"/>
        <v>0</v>
      </c>
      <c r="C136">
        <f t="shared" ca="1" si="13"/>
        <v>0</v>
      </c>
      <c r="D136" t="s">
        <v>236</v>
      </c>
      <c r="E136" t="s">
        <v>297</v>
      </c>
      <c r="F136">
        <v>1831</v>
      </c>
      <c r="G136" t="s">
        <v>304</v>
      </c>
      <c r="H136" t="s">
        <v>403</v>
      </c>
      <c r="I136" t="s">
        <v>44</v>
      </c>
      <c r="J136" t="s">
        <v>236</v>
      </c>
      <c r="K136" t="s">
        <v>300</v>
      </c>
      <c r="L136" t="s">
        <v>396</v>
      </c>
      <c r="M136">
        <v>10000</v>
      </c>
      <c r="N136">
        <v>488</v>
      </c>
      <c r="O136">
        <v>5032308</v>
      </c>
      <c r="P136">
        <v>8168</v>
      </c>
      <c r="Q136" t="s">
        <v>385</v>
      </c>
      <c r="R136">
        <v>11700.29</v>
      </c>
      <c r="S136">
        <v>11700.29</v>
      </c>
      <c r="T136">
        <v>0</v>
      </c>
      <c r="U136" t="s">
        <v>34</v>
      </c>
      <c r="V136" s="1">
        <v>46083</v>
      </c>
      <c r="W136" s="1">
        <v>46101</v>
      </c>
    </row>
    <row r="137" spans="1:24" x14ac:dyDescent="0.25">
      <c r="A137">
        <f t="shared" ca="1" si="12"/>
        <v>0</v>
      </c>
      <c r="C137">
        <f t="shared" ca="1" si="13"/>
        <v>0</v>
      </c>
      <c r="D137" t="s">
        <v>203</v>
      </c>
      <c r="E137" t="s">
        <v>297</v>
      </c>
      <c r="F137">
        <v>1352</v>
      </c>
      <c r="G137" t="s">
        <v>359</v>
      </c>
      <c r="H137" t="s">
        <v>404</v>
      </c>
      <c r="I137" t="s">
        <v>44</v>
      </c>
      <c r="J137" t="s">
        <v>203</v>
      </c>
      <c r="K137" t="s">
        <v>300</v>
      </c>
      <c r="L137" t="s">
        <v>405</v>
      </c>
      <c r="M137">
        <v>5000</v>
      </c>
      <c r="N137">
        <v>489</v>
      </c>
    </row>
    <row r="138" spans="1:24" x14ac:dyDescent="0.25">
      <c r="A138">
        <f t="shared" ca="1" si="12"/>
        <v>0</v>
      </c>
      <c r="C138">
        <f t="shared" ca="1" si="13"/>
        <v>0</v>
      </c>
      <c r="D138" t="s">
        <v>203</v>
      </c>
      <c r="E138" t="s">
        <v>297</v>
      </c>
      <c r="F138">
        <v>2001</v>
      </c>
      <c r="G138" t="s">
        <v>372</v>
      </c>
      <c r="H138" t="s">
        <v>406</v>
      </c>
      <c r="I138" t="s">
        <v>44</v>
      </c>
      <c r="J138" t="s">
        <v>203</v>
      </c>
      <c r="K138" t="s">
        <v>300</v>
      </c>
      <c r="L138" t="s">
        <v>405</v>
      </c>
      <c r="M138">
        <v>10000</v>
      </c>
      <c r="N138">
        <v>490</v>
      </c>
      <c r="X138" t="s">
        <v>407</v>
      </c>
    </row>
    <row r="139" spans="1:24" x14ac:dyDescent="0.25">
      <c r="A139">
        <f t="shared" ca="1" si="12"/>
        <v>0</v>
      </c>
      <c r="C139">
        <f t="shared" ca="1" si="13"/>
        <v>0</v>
      </c>
      <c r="D139" t="s">
        <v>203</v>
      </c>
      <c r="E139" t="s">
        <v>297</v>
      </c>
      <c r="F139">
        <v>2366</v>
      </c>
      <c r="G139" t="s">
        <v>383</v>
      </c>
      <c r="H139" t="s">
        <v>386</v>
      </c>
      <c r="I139" t="s">
        <v>44</v>
      </c>
      <c r="J139" t="s">
        <v>203</v>
      </c>
      <c r="K139" t="s">
        <v>300</v>
      </c>
      <c r="L139" t="s">
        <v>405</v>
      </c>
      <c r="M139">
        <v>10000</v>
      </c>
      <c r="N139">
        <v>491</v>
      </c>
      <c r="O139">
        <v>5014135</v>
      </c>
      <c r="P139">
        <v>28284</v>
      </c>
      <c r="Q139" t="s">
        <v>362</v>
      </c>
      <c r="R139">
        <v>9894.5</v>
      </c>
      <c r="S139">
        <v>9894.5</v>
      </c>
      <c r="T139">
        <v>0</v>
      </c>
      <c r="U139" t="s">
        <v>34</v>
      </c>
      <c r="V139" s="1">
        <v>46041</v>
      </c>
      <c r="W139" s="1">
        <v>46052</v>
      </c>
    </row>
    <row r="140" spans="1:24" x14ac:dyDescent="0.25">
      <c r="A140">
        <f t="shared" ca="1" si="12"/>
        <v>0</v>
      </c>
      <c r="C140">
        <f t="shared" ca="1" si="13"/>
        <v>0</v>
      </c>
      <c r="D140" t="s">
        <v>209</v>
      </c>
      <c r="E140" t="s">
        <v>297</v>
      </c>
      <c r="F140">
        <v>2001</v>
      </c>
      <c r="G140" t="s">
        <v>372</v>
      </c>
      <c r="H140" t="s">
        <v>408</v>
      </c>
      <c r="I140" t="s">
        <v>44</v>
      </c>
      <c r="J140" t="s">
        <v>209</v>
      </c>
      <c r="K140" t="s">
        <v>300</v>
      </c>
      <c r="L140" t="s">
        <v>409</v>
      </c>
      <c r="M140">
        <v>10000</v>
      </c>
      <c r="N140">
        <v>492</v>
      </c>
      <c r="O140">
        <v>5049142</v>
      </c>
      <c r="P140">
        <v>28284</v>
      </c>
      <c r="Q140" t="s">
        <v>362</v>
      </c>
      <c r="R140">
        <v>9345.6</v>
      </c>
      <c r="S140">
        <v>9345.6</v>
      </c>
      <c r="T140">
        <v>0</v>
      </c>
      <c r="U140" t="s">
        <v>34</v>
      </c>
      <c r="V140" s="1">
        <v>46118</v>
      </c>
      <c r="W140" s="1">
        <v>46129</v>
      </c>
    </row>
    <row r="141" spans="1:24" x14ac:dyDescent="0.25">
      <c r="A141">
        <f t="shared" ca="1" si="12"/>
        <v>0</v>
      </c>
      <c r="C141">
        <f t="shared" ca="1" si="13"/>
        <v>0</v>
      </c>
      <c r="D141" t="s">
        <v>203</v>
      </c>
      <c r="E141" t="s">
        <v>297</v>
      </c>
      <c r="F141">
        <v>1969</v>
      </c>
      <c r="G141" t="s">
        <v>304</v>
      </c>
      <c r="H141" t="s">
        <v>410</v>
      </c>
      <c r="I141" t="s">
        <v>44</v>
      </c>
      <c r="J141" t="s">
        <v>203</v>
      </c>
      <c r="K141" t="s">
        <v>300</v>
      </c>
      <c r="L141" t="s">
        <v>411</v>
      </c>
      <c r="M141">
        <v>11000</v>
      </c>
      <c r="N141">
        <v>493</v>
      </c>
      <c r="O141">
        <v>5061064</v>
      </c>
      <c r="P141">
        <v>17684</v>
      </c>
      <c r="Q141" t="s">
        <v>412</v>
      </c>
      <c r="R141">
        <v>7770.4</v>
      </c>
      <c r="S141">
        <v>7770.4</v>
      </c>
      <c r="T141">
        <v>0</v>
      </c>
      <c r="U141" t="s">
        <v>34</v>
      </c>
      <c r="V141" s="1">
        <v>46139</v>
      </c>
      <c r="W141" s="1">
        <v>46150</v>
      </c>
    </row>
    <row r="142" spans="1:24" x14ac:dyDescent="0.25">
      <c r="A142">
        <f t="shared" ca="1" si="12"/>
        <v>0</v>
      </c>
      <c r="C142">
        <f t="shared" ca="1" si="13"/>
        <v>0</v>
      </c>
      <c r="D142" t="s">
        <v>203</v>
      </c>
      <c r="E142" t="s">
        <v>297</v>
      </c>
      <c r="F142">
        <v>2290</v>
      </c>
      <c r="G142" t="s">
        <v>304</v>
      </c>
      <c r="H142" t="s">
        <v>305</v>
      </c>
      <c r="I142" t="s">
        <v>44</v>
      </c>
      <c r="J142" t="s">
        <v>203</v>
      </c>
      <c r="K142" t="s">
        <v>300</v>
      </c>
      <c r="L142" t="s">
        <v>405</v>
      </c>
      <c r="M142">
        <v>15000</v>
      </c>
      <c r="N142">
        <v>496</v>
      </c>
      <c r="O142">
        <v>5022211</v>
      </c>
      <c r="P142">
        <v>17684</v>
      </c>
      <c r="Q142" t="s">
        <v>412</v>
      </c>
      <c r="R142">
        <v>16925.04</v>
      </c>
      <c r="S142">
        <v>16925.04</v>
      </c>
      <c r="T142">
        <v>0</v>
      </c>
      <c r="U142" t="s">
        <v>34</v>
      </c>
      <c r="V142" s="1">
        <v>46055</v>
      </c>
      <c r="W142" s="1">
        <v>46071</v>
      </c>
    </row>
    <row r="143" spans="1:24" x14ac:dyDescent="0.25">
      <c r="A143">
        <f t="shared" ca="1" si="12"/>
        <v>0</v>
      </c>
      <c r="C143">
        <f t="shared" ca="1" si="13"/>
        <v>0</v>
      </c>
      <c r="D143" t="s">
        <v>209</v>
      </c>
      <c r="E143" t="s">
        <v>297</v>
      </c>
      <c r="F143">
        <v>1352</v>
      </c>
      <c r="G143" t="s">
        <v>359</v>
      </c>
      <c r="H143" t="s">
        <v>413</v>
      </c>
      <c r="I143" t="s">
        <v>44</v>
      </c>
      <c r="J143" t="s">
        <v>209</v>
      </c>
      <c r="K143" t="s">
        <v>300</v>
      </c>
      <c r="L143" t="s">
        <v>414</v>
      </c>
      <c r="M143">
        <v>15000</v>
      </c>
      <c r="N143">
        <v>497</v>
      </c>
      <c r="O143">
        <v>5049123</v>
      </c>
      <c r="P143">
        <v>28284</v>
      </c>
      <c r="Q143" t="s">
        <v>362</v>
      </c>
      <c r="R143">
        <v>14132.8</v>
      </c>
      <c r="S143">
        <v>14132.8</v>
      </c>
      <c r="T143">
        <v>0</v>
      </c>
      <c r="U143" t="s">
        <v>34</v>
      </c>
    </row>
    <row r="144" spans="1:24" x14ac:dyDescent="0.25">
      <c r="A144">
        <f t="shared" ca="1" si="12"/>
        <v>0</v>
      </c>
      <c r="C144">
        <f t="shared" ca="1" si="13"/>
        <v>0</v>
      </c>
      <c r="D144" t="s">
        <v>203</v>
      </c>
      <c r="E144" t="s">
        <v>297</v>
      </c>
      <c r="F144">
        <v>1420</v>
      </c>
      <c r="G144" t="s">
        <v>359</v>
      </c>
      <c r="H144" t="s">
        <v>415</v>
      </c>
      <c r="I144" t="s">
        <v>44</v>
      </c>
      <c r="J144" t="s">
        <v>203</v>
      </c>
      <c r="K144" t="s">
        <v>300</v>
      </c>
      <c r="L144" t="s">
        <v>416</v>
      </c>
      <c r="M144">
        <v>15000</v>
      </c>
      <c r="N144">
        <v>498</v>
      </c>
      <c r="O144">
        <v>5061082</v>
      </c>
      <c r="P144">
        <v>28284</v>
      </c>
      <c r="Q144" t="s">
        <v>362</v>
      </c>
      <c r="R144">
        <v>15426.4</v>
      </c>
      <c r="S144">
        <v>15426.4</v>
      </c>
      <c r="T144">
        <v>0</v>
      </c>
      <c r="U144" t="s">
        <v>34</v>
      </c>
      <c r="V144" s="1">
        <v>46146</v>
      </c>
      <c r="W144" s="1">
        <v>46157</v>
      </c>
    </row>
    <row r="145" spans="1:26" x14ac:dyDescent="0.25">
      <c r="A145">
        <f t="shared" ca="1" si="12"/>
        <v>0</v>
      </c>
      <c r="C145">
        <f t="shared" ca="1" si="13"/>
        <v>0</v>
      </c>
      <c r="D145" t="s">
        <v>203</v>
      </c>
      <c r="E145" t="s">
        <v>297</v>
      </c>
      <c r="F145">
        <v>2289</v>
      </c>
      <c r="G145" t="s">
        <v>304</v>
      </c>
      <c r="H145" t="s">
        <v>392</v>
      </c>
      <c r="I145" t="s">
        <v>44</v>
      </c>
      <c r="J145" t="s">
        <v>203</v>
      </c>
      <c r="K145" t="s">
        <v>300</v>
      </c>
      <c r="L145" t="s">
        <v>417</v>
      </c>
      <c r="M145">
        <v>20000</v>
      </c>
      <c r="N145">
        <v>499</v>
      </c>
      <c r="O145">
        <v>5043808</v>
      </c>
      <c r="P145">
        <v>21225</v>
      </c>
      <c r="Q145" t="s">
        <v>367</v>
      </c>
      <c r="R145">
        <v>19343.12</v>
      </c>
      <c r="S145">
        <v>19343.12</v>
      </c>
      <c r="T145">
        <v>0</v>
      </c>
      <c r="U145" t="s">
        <v>34</v>
      </c>
      <c r="V145" s="1">
        <v>46097</v>
      </c>
      <c r="W145" s="1">
        <v>46108</v>
      </c>
    </row>
    <row r="146" spans="1:26" x14ac:dyDescent="0.25">
      <c r="A146">
        <f t="shared" ca="1" si="12"/>
        <v>0</v>
      </c>
      <c r="C146">
        <f t="shared" ca="1" si="13"/>
        <v>0</v>
      </c>
      <c r="D146" t="s">
        <v>209</v>
      </c>
      <c r="E146" t="s">
        <v>297</v>
      </c>
      <c r="F146">
        <v>2001</v>
      </c>
      <c r="G146" t="s">
        <v>372</v>
      </c>
      <c r="H146" t="s">
        <v>418</v>
      </c>
      <c r="I146" t="s">
        <v>44</v>
      </c>
      <c r="J146" t="s">
        <v>209</v>
      </c>
      <c r="K146" t="s">
        <v>300</v>
      </c>
      <c r="L146" t="s">
        <v>419</v>
      </c>
      <c r="M146">
        <v>25000</v>
      </c>
      <c r="N146">
        <v>500</v>
      </c>
      <c r="O146">
        <v>5018603</v>
      </c>
      <c r="P146">
        <v>28284</v>
      </c>
      <c r="Q146" t="s">
        <v>362</v>
      </c>
      <c r="R146">
        <v>20154.2</v>
      </c>
      <c r="S146">
        <v>20154.2</v>
      </c>
      <c r="T146">
        <v>0</v>
      </c>
      <c r="U146" t="s">
        <v>34</v>
      </c>
      <c r="V146" s="1">
        <v>46048</v>
      </c>
      <c r="W146" s="1">
        <v>46066</v>
      </c>
    </row>
    <row r="147" spans="1:26" x14ac:dyDescent="0.25">
      <c r="A147">
        <f t="shared" ca="1" si="12"/>
        <v>0</v>
      </c>
      <c r="C147">
        <f t="shared" ca="1" si="13"/>
        <v>0</v>
      </c>
      <c r="D147" t="s">
        <v>355</v>
      </c>
      <c r="E147" t="s">
        <v>297</v>
      </c>
      <c r="F147">
        <v>1352</v>
      </c>
      <c r="G147" t="s">
        <v>359</v>
      </c>
      <c r="H147" t="s">
        <v>420</v>
      </c>
      <c r="I147" t="s">
        <v>30</v>
      </c>
      <c r="J147" t="s">
        <v>355</v>
      </c>
      <c r="K147" t="s">
        <v>300</v>
      </c>
      <c r="L147" t="s">
        <v>421</v>
      </c>
      <c r="M147">
        <v>4000</v>
      </c>
      <c r="N147">
        <v>502</v>
      </c>
      <c r="O147">
        <v>5098424</v>
      </c>
      <c r="P147">
        <v>8205</v>
      </c>
      <c r="Q147" t="s">
        <v>422</v>
      </c>
      <c r="R147">
        <v>4731</v>
      </c>
      <c r="T147">
        <v>4731</v>
      </c>
      <c r="U147" t="s">
        <v>40</v>
      </c>
      <c r="V147" s="1">
        <v>46266</v>
      </c>
      <c r="W147" s="1">
        <v>46283</v>
      </c>
    </row>
    <row r="148" spans="1:26" x14ac:dyDescent="0.25">
      <c r="A148">
        <f t="shared" ca="1" si="12"/>
        <v>0</v>
      </c>
      <c r="C148">
        <f t="shared" ca="1" si="13"/>
        <v>0</v>
      </c>
      <c r="D148" t="s">
        <v>48</v>
      </c>
      <c r="E148" t="s">
        <v>297</v>
      </c>
      <c r="F148">
        <v>1352</v>
      </c>
      <c r="G148" t="s">
        <v>359</v>
      </c>
      <c r="H148" t="s">
        <v>360</v>
      </c>
      <c r="I148" t="s">
        <v>30</v>
      </c>
      <c r="J148" t="s">
        <v>48</v>
      </c>
      <c r="K148" t="s">
        <v>300</v>
      </c>
      <c r="L148" t="s">
        <v>423</v>
      </c>
      <c r="M148">
        <v>12000</v>
      </c>
      <c r="N148">
        <v>503</v>
      </c>
      <c r="O148">
        <v>5018576</v>
      </c>
      <c r="P148">
        <v>6205</v>
      </c>
      <c r="Q148" t="s">
        <v>424</v>
      </c>
      <c r="R148">
        <v>12246.3</v>
      </c>
      <c r="S148">
        <v>12246.3</v>
      </c>
      <c r="T148">
        <v>0</v>
      </c>
      <c r="U148" t="s">
        <v>34</v>
      </c>
      <c r="V148" s="1">
        <v>46062</v>
      </c>
      <c r="W148" s="1">
        <v>46066</v>
      </c>
    </row>
    <row r="149" spans="1:26" x14ac:dyDescent="0.25">
      <c r="A149">
        <f t="shared" ca="1" si="12"/>
        <v>0</v>
      </c>
      <c r="C149">
        <f t="shared" ca="1" si="13"/>
        <v>0</v>
      </c>
      <c r="D149" t="s">
        <v>74</v>
      </c>
      <c r="E149" t="s">
        <v>297</v>
      </c>
      <c r="F149">
        <v>1352</v>
      </c>
      <c r="G149" t="s">
        <v>359</v>
      </c>
      <c r="H149" t="s">
        <v>360</v>
      </c>
      <c r="I149" t="s">
        <v>30</v>
      </c>
      <c r="J149" t="s">
        <v>74</v>
      </c>
      <c r="K149" t="s">
        <v>300</v>
      </c>
      <c r="L149" t="s">
        <v>425</v>
      </c>
      <c r="M149">
        <v>12000</v>
      </c>
      <c r="N149">
        <v>504</v>
      </c>
      <c r="O149">
        <v>5040885</v>
      </c>
      <c r="P149">
        <v>7185</v>
      </c>
      <c r="Q149" t="s">
        <v>364</v>
      </c>
      <c r="R149">
        <v>12629.76</v>
      </c>
      <c r="S149">
        <v>12629.76</v>
      </c>
      <c r="T149">
        <v>0</v>
      </c>
      <c r="U149" t="s">
        <v>34</v>
      </c>
      <c r="V149" s="1">
        <v>46097</v>
      </c>
      <c r="W149" s="1">
        <v>46108</v>
      </c>
    </row>
    <row r="150" spans="1:26" x14ac:dyDescent="0.25">
      <c r="A150">
        <f t="shared" ca="1" si="12"/>
        <v>0</v>
      </c>
      <c r="C150">
        <f t="shared" ca="1" si="13"/>
        <v>0</v>
      </c>
      <c r="D150" t="s">
        <v>221</v>
      </c>
      <c r="E150" t="s">
        <v>58</v>
      </c>
      <c r="F150">
        <v>9</v>
      </c>
      <c r="G150" t="s">
        <v>426</v>
      </c>
      <c r="H150" t="s">
        <v>427</v>
      </c>
      <c r="I150" t="s">
        <v>187</v>
      </c>
      <c r="J150" t="s">
        <v>221</v>
      </c>
      <c r="K150" t="s">
        <v>215</v>
      </c>
      <c r="L150" t="s">
        <v>428</v>
      </c>
      <c r="M150">
        <v>12000</v>
      </c>
      <c r="N150">
        <v>168</v>
      </c>
      <c r="O150">
        <v>5027288</v>
      </c>
      <c r="P150">
        <v>1971</v>
      </c>
      <c r="Q150" t="s">
        <v>429</v>
      </c>
      <c r="R150">
        <v>12666</v>
      </c>
      <c r="S150">
        <v>12666</v>
      </c>
      <c r="T150">
        <v>0</v>
      </c>
      <c r="U150" t="s">
        <v>34</v>
      </c>
      <c r="V150" s="1">
        <v>46104</v>
      </c>
      <c r="W150" s="1">
        <v>46101</v>
      </c>
      <c r="X150" t="s">
        <v>430</v>
      </c>
    </row>
    <row r="151" spans="1:26" x14ac:dyDescent="0.25">
      <c r="A151">
        <f t="shared" ca="1" si="12"/>
        <v>0</v>
      </c>
      <c r="C151">
        <f t="shared" ca="1" si="13"/>
        <v>0</v>
      </c>
      <c r="D151" t="s">
        <v>95</v>
      </c>
      <c r="E151" t="s">
        <v>27</v>
      </c>
      <c r="F151">
        <v>763</v>
      </c>
      <c r="G151" t="s">
        <v>36</v>
      </c>
      <c r="H151" t="s">
        <v>158</v>
      </c>
      <c r="I151" t="s">
        <v>30</v>
      </c>
      <c r="J151" t="s">
        <v>95</v>
      </c>
      <c r="K151" t="s">
        <v>31</v>
      </c>
      <c r="L151" t="s">
        <v>431</v>
      </c>
      <c r="M151">
        <v>10000</v>
      </c>
      <c r="N151">
        <v>439</v>
      </c>
      <c r="O151">
        <v>5064316</v>
      </c>
      <c r="P151">
        <v>153</v>
      </c>
      <c r="Q151" t="s">
        <v>98</v>
      </c>
      <c r="R151">
        <v>10814.76</v>
      </c>
      <c r="S151">
        <v>10814.76</v>
      </c>
      <c r="T151">
        <v>0</v>
      </c>
      <c r="U151" t="s">
        <v>34</v>
      </c>
      <c r="V151" s="1">
        <v>46174</v>
      </c>
      <c r="W151" s="1">
        <v>46235</v>
      </c>
    </row>
    <row r="152" spans="1:26" x14ac:dyDescent="0.25">
      <c r="A152">
        <f t="shared" ca="1" si="12"/>
        <v>0</v>
      </c>
      <c r="C152">
        <f t="shared" ca="1" si="13"/>
        <v>0</v>
      </c>
      <c r="D152" t="s">
        <v>35</v>
      </c>
      <c r="E152" t="s">
        <v>27</v>
      </c>
      <c r="F152">
        <v>27</v>
      </c>
      <c r="G152" t="s">
        <v>70</v>
      </c>
      <c r="H152" t="s">
        <v>432</v>
      </c>
      <c r="I152" t="s">
        <v>30</v>
      </c>
      <c r="J152" t="s">
        <v>35</v>
      </c>
      <c r="K152" t="s">
        <v>31</v>
      </c>
      <c r="L152" t="s">
        <v>433</v>
      </c>
      <c r="M152">
        <v>20000</v>
      </c>
      <c r="N152">
        <v>408</v>
      </c>
      <c r="O152">
        <v>5067151</v>
      </c>
      <c r="P152">
        <v>6364</v>
      </c>
      <c r="Q152" t="s">
        <v>331</v>
      </c>
      <c r="R152">
        <v>1324.84</v>
      </c>
      <c r="T152">
        <v>1324.84</v>
      </c>
      <c r="U152" t="s">
        <v>40</v>
      </c>
      <c r="V152" s="1">
        <v>46149</v>
      </c>
      <c r="W152" s="1">
        <v>46157</v>
      </c>
    </row>
    <row r="153" spans="1:26" x14ac:dyDescent="0.25">
      <c r="A153">
        <f t="shared" ca="1" si="12"/>
        <v>0</v>
      </c>
      <c r="C153">
        <f t="shared" ca="1" si="13"/>
        <v>0</v>
      </c>
      <c r="D153" t="s">
        <v>35</v>
      </c>
      <c r="E153" t="s">
        <v>297</v>
      </c>
      <c r="F153">
        <v>1352</v>
      </c>
      <c r="G153" t="s">
        <v>359</v>
      </c>
      <c r="H153" t="s">
        <v>434</v>
      </c>
      <c r="I153" t="s">
        <v>30</v>
      </c>
      <c r="J153" t="s">
        <v>35</v>
      </c>
      <c r="K153" t="s">
        <v>300</v>
      </c>
      <c r="L153" t="s">
        <v>435</v>
      </c>
      <c r="M153">
        <v>4000</v>
      </c>
      <c r="N153">
        <v>507</v>
      </c>
      <c r="O153">
        <v>5072061</v>
      </c>
      <c r="P153">
        <v>7185</v>
      </c>
      <c r="Q153" t="s">
        <v>364</v>
      </c>
      <c r="R153">
        <v>1859</v>
      </c>
      <c r="T153">
        <v>1859</v>
      </c>
      <c r="U153" t="s">
        <v>40</v>
      </c>
      <c r="V153" s="1">
        <v>46160</v>
      </c>
      <c r="W153" s="1">
        <v>46162</v>
      </c>
    </row>
    <row r="154" spans="1:26" x14ac:dyDescent="0.25">
      <c r="A154">
        <f t="shared" ca="1" si="12"/>
        <v>0</v>
      </c>
      <c r="C154">
        <f t="shared" ca="1" si="13"/>
        <v>0</v>
      </c>
      <c r="D154" t="s">
        <v>26</v>
      </c>
      <c r="E154" t="s">
        <v>58</v>
      </c>
      <c r="F154">
        <v>133</v>
      </c>
      <c r="G154" t="s">
        <v>426</v>
      </c>
      <c r="H154" t="s">
        <v>436</v>
      </c>
      <c r="I154" t="s">
        <v>30</v>
      </c>
      <c r="J154" t="s">
        <v>26</v>
      </c>
      <c r="K154" t="s">
        <v>215</v>
      </c>
      <c r="L154" t="s">
        <v>437</v>
      </c>
      <c r="M154">
        <v>13000</v>
      </c>
      <c r="N154">
        <v>241</v>
      </c>
      <c r="O154">
        <v>5084649</v>
      </c>
      <c r="P154">
        <v>505</v>
      </c>
      <c r="Q154" t="s">
        <v>438</v>
      </c>
      <c r="R154">
        <v>3318.69</v>
      </c>
      <c r="T154">
        <v>3318.69</v>
      </c>
      <c r="U154" t="s">
        <v>40</v>
      </c>
      <c r="V154" s="1">
        <v>46218</v>
      </c>
      <c r="W154" s="1">
        <v>46241</v>
      </c>
      <c r="X154" t="s">
        <v>439</v>
      </c>
      <c r="Y154" t="s">
        <v>104</v>
      </c>
      <c r="Z154" s="1">
        <v>46184</v>
      </c>
    </row>
    <row r="155" spans="1:26" x14ac:dyDescent="0.25">
      <c r="A155">
        <f t="shared" ca="1" si="12"/>
        <v>0</v>
      </c>
      <c r="C155">
        <f t="shared" ca="1" si="13"/>
        <v>0</v>
      </c>
      <c r="D155" t="s">
        <v>35</v>
      </c>
      <c r="E155" t="s">
        <v>184</v>
      </c>
      <c r="F155">
        <v>917</v>
      </c>
      <c r="G155" t="s">
        <v>334</v>
      </c>
      <c r="H155" t="s">
        <v>351</v>
      </c>
      <c r="I155" t="s">
        <v>30</v>
      </c>
      <c r="J155" t="s">
        <v>35</v>
      </c>
      <c r="K155" t="s">
        <v>188</v>
      </c>
      <c r="L155" t="s">
        <v>440</v>
      </c>
      <c r="M155">
        <v>30000</v>
      </c>
      <c r="N155">
        <v>461</v>
      </c>
      <c r="O155">
        <v>5086654</v>
      </c>
      <c r="P155">
        <v>6364</v>
      </c>
      <c r="Q155" t="s">
        <v>331</v>
      </c>
      <c r="R155">
        <v>4475.2</v>
      </c>
      <c r="S155">
        <v>4475.2</v>
      </c>
      <c r="T155">
        <v>0</v>
      </c>
      <c r="U155" t="s">
        <v>34</v>
      </c>
    </row>
    <row r="156" spans="1:26" x14ac:dyDescent="0.25">
      <c r="A156">
        <f t="shared" ref="A156:A187" ca="1" si="14">+ Cmde</f>
        <v>0</v>
      </c>
      <c r="C156">
        <f t="shared" ref="C156:C187" ca="1" si="15">+ Devis</f>
        <v>0</v>
      </c>
      <c r="D156" t="s">
        <v>35</v>
      </c>
      <c r="E156" t="s">
        <v>184</v>
      </c>
      <c r="F156">
        <v>917</v>
      </c>
      <c r="G156" t="s">
        <v>334</v>
      </c>
      <c r="H156" t="s">
        <v>441</v>
      </c>
      <c r="I156" t="s">
        <v>30</v>
      </c>
      <c r="J156" t="s">
        <v>35</v>
      </c>
      <c r="K156" t="s">
        <v>188</v>
      </c>
      <c r="L156" t="s">
        <v>442</v>
      </c>
      <c r="M156">
        <v>30000</v>
      </c>
      <c r="N156">
        <v>461</v>
      </c>
      <c r="O156">
        <v>5086660</v>
      </c>
      <c r="P156">
        <v>6364</v>
      </c>
      <c r="Q156" t="s">
        <v>331</v>
      </c>
      <c r="R156">
        <v>4475.2</v>
      </c>
      <c r="S156">
        <v>4475.2</v>
      </c>
      <c r="T156">
        <v>0</v>
      </c>
      <c r="U156" t="s">
        <v>34</v>
      </c>
    </row>
    <row r="157" spans="1:26" x14ac:dyDescent="0.25">
      <c r="A157">
        <f t="shared" ca="1" si="14"/>
        <v>0</v>
      </c>
      <c r="C157">
        <f t="shared" ca="1" si="15"/>
        <v>0</v>
      </c>
      <c r="D157" t="s">
        <v>35</v>
      </c>
      <c r="E157" t="s">
        <v>297</v>
      </c>
      <c r="F157">
        <v>1352</v>
      </c>
      <c r="G157" t="s">
        <v>359</v>
      </c>
      <c r="H157" t="s">
        <v>443</v>
      </c>
      <c r="I157" t="s">
        <v>30</v>
      </c>
      <c r="J157" t="s">
        <v>35</v>
      </c>
      <c r="K157" t="s">
        <v>300</v>
      </c>
      <c r="L157" t="s">
        <v>444</v>
      </c>
      <c r="O157">
        <v>5124001</v>
      </c>
      <c r="P157">
        <v>7185</v>
      </c>
      <c r="Q157" t="s">
        <v>364</v>
      </c>
      <c r="R157">
        <v>1618.85</v>
      </c>
      <c r="T157">
        <v>1618.85</v>
      </c>
      <c r="U157" t="s">
        <v>40</v>
      </c>
      <c r="V157" s="1">
        <v>46279</v>
      </c>
      <c r="W157" s="1">
        <v>46283</v>
      </c>
    </row>
    <row r="158" spans="1:26" x14ac:dyDescent="0.25">
      <c r="A158">
        <f t="shared" ca="1" si="14"/>
        <v>0</v>
      </c>
      <c r="C158">
        <f t="shared" ca="1" si="15"/>
        <v>0</v>
      </c>
      <c r="D158" t="s">
        <v>35</v>
      </c>
      <c r="E158" t="s">
        <v>445</v>
      </c>
      <c r="F158">
        <v>2086</v>
      </c>
      <c r="G158" t="s">
        <v>446</v>
      </c>
      <c r="H158" t="s">
        <v>447</v>
      </c>
      <c r="I158" t="s">
        <v>30</v>
      </c>
      <c r="J158" t="s">
        <v>35</v>
      </c>
      <c r="K158" t="s">
        <v>448</v>
      </c>
      <c r="L158" t="s">
        <v>449</v>
      </c>
      <c r="M158">
        <v>1000</v>
      </c>
      <c r="N158">
        <v>575</v>
      </c>
      <c r="X158" t="s">
        <v>450</v>
      </c>
    </row>
    <row r="159" spans="1:26" x14ac:dyDescent="0.25">
      <c r="A159">
        <f t="shared" ca="1" si="14"/>
        <v>0</v>
      </c>
      <c r="C159">
        <f t="shared" ca="1" si="15"/>
        <v>0</v>
      </c>
      <c r="D159" t="s">
        <v>35</v>
      </c>
      <c r="E159" t="s">
        <v>27</v>
      </c>
      <c r="F159">
        <v>628</v>
      </c>
      <c r="G159" t="s">
        <v>75</v>
      </c>
      <c r="H159" t="s">
        <v>451</v>
      </c>
      <c r="I159" t="s">
        <v>30</v>
      </c>
      <c r="J159" t="s">
        <v>35</v>
      </c>
      <c r="K159" t="s">
        <v>31</v>
      </c>
      <c r="L159" t="s">
        <v>452</v>
      </c>
      <c r="O159">
        <v>5034573</v>
      </c>
      <c r="P159">
        <v>332</v>
      </c>
      <c r="Q159" t="s">
        <v>453</v>
      </c>
      <c r="R159">
        <v>2067.1</v>
      </c>
      <c r="S159">
        <v>440</v>
      </c>
      <c r="T159">
        <v>1627.1</v>
      </c>
      <c r="U159" t="s">
        <v>34</v>
      </c>
      <c r="V159" s="1">
        <v>46069</v>
      </c>
      <c r="W159" s="1">
        <v>46073</v>
      </c>
    </row>
    <row r="160" spans="1:26" x14ac:dyDescent="0.25">
      <c r="A160">
        <f t="shared" ca="1" si="14"/>
        <v>0</v>
      </c>
      <c r="C160">
        <f t="shared" ca="1" si="15"/>
        <v>0</v>
      </c>
      <c r="D160" t="s">
        <v>221</v>
      </c>
      <c r="E160" t="s">
        <v>58</v>
      </c>
      <c r="F160">
        <v>1357</v>
      </c>
      <c r="G160" t="s">
        <v>213</v>
      </c>
      <c r="H160" t="s">
        <v>454</v>
      </c>
      <c r="I160" t="s">
        <v>187</v>
      </c>
      <c r="J160" t="s">
        <v>221</v>
      </c>
      <c r="K160" t="s">
        <v>215</v>
      </c>
      <c r="L160" t="s">
        <v>455</v>
      </c>
      <c r="O160">
        <v>5046658</v>
      </c>
      <c r="P160">
        <v>8598</v>
      </c>
      <c r="Q160" t="s">
        <v>78</v>
      </c>
      <c r="R160">
        <v>3795</v>
      </c>
      <c r="S160">
        <v>3795</v>
      </c>
      <c r="T160">
        <v>0</v>
      </c>
      <c r="U160" t="s">
        <v>34</v>
      </c>
      <c r="V160" s="1">
        <v>46132</v>
      </c>
      <c r="W160" s="1">
        <v>46142</v>
      </c>
      <c r="X160" t="s">
        <v>456</v>
      </c>
    </row>
    <row r="161" spans="1:23" x14ac:dyDescent="0.25">
      <c r="A161">
        <f t="shared" ca="1" si="14"/>
        <v>0</v>
      </c>
      <c r="C161">
        <f t="shared" ca="1" si="15"/>
        <v>0</v>
      </c>
      <c r="D161" t="s">
        <v>196</v>
      </c>
      <c r="E161" t="s">
        <v>237</v>
      </c>
      <c r="F161">
        <v>74</v>
      </c>
      <c r="G161" t="s">
        <v>258</v>
      </c>
      <c r="H161" t="s">
        <v>457</v>
      </c>
      <c r="I161" t="s">
        <v>187</v>
      </c>
      <c r="J161" t="s">
        <v>196</v>
      </c>
      <c r="K161" t="s">
        <v>240</v>
      </c>
      <c r="L161" t="s">
        <v>458</v>
      </c>
      <c r="M161">
        <v>10000</v>
      </c>
      <c r="N161">
        <v>26</v>
      </c>
      <c r="O161">
        <v>5052509</v>
      </c>
      <c r="P161">
        <v>1701</v>
      </c>
      <c r="Q161" t="s">
        <v>459</v>
      </c>
      <c r="R161">
        <v>2912.8</v>
      </c>
      <c r="S161">
        <v>2912.8</v>
      </c>
      <c r="T161">
        <v>0</v>
      </c>
      <c r="U161" t="s">
        <v>34</v>
      </c>
    </row>
    <row r="162" spans="1:23" x14ac:dyDescent="0.25">
      <c r="A162">
        <f t="shared" ca="1" si="14"/>
        <v>0</v>
      </c>
      <c r="C162">
        <f t="shared" ca="1" si="15"/>
        <v>0</v>
      </c>
      <c r="D162" t="s">
        <v>236</v>
      </c>
      <c r="E162" t="s">
        <v>237</v>
      </c>
      <c r="F162">
        <v>69</v>
      </c>
      <c r="G162" t="s">
        <v>238</v>
      </c>
      <c r="H162" t="s">
        <v>460</v>
      </c>
      <c r="I162" t="s">
        <v>44</v>
      </c>
      <c r="J162" t="s">
        <v>236</v>
      </c>
      <c r="K162" t="s">
        <v>240</v>
      </c>
      <c r="L162" t="s">
        <v>241</v>
      </c>
      <c r="M162">
        <v>7000</v>
      </c>
      <c r="N162">
        <v>42</v>
      </c>
      <c r="R162">
        <v>2347</v>
      </c>
      <c r="S162">
        <v>2347</v>
      </c>
      <c r="T162">
        <v>0</v>
      </c>
      <c r="U162" t="s">
        <v>34</v>
      </c>
    </row>
    <row r="163" spans="1:23" x14ac:dyDescent="0.25">
      <c r="A163">
        <f t="shared" ca="1" si="14"/>
        <v>0</v>
      </c>
      <c r="C163">
        <f t="shared" ca="1" si="15"/>
        <v>0</v>
      </c>
      <c r="D163" t="s">
        <v>236</v>
      </c>
      <c r="E163" t="s">
        <v>237</v>
      </c>
      <c r="F163">
        <v>69</v>
      </c>
      <c r="G163" t="s">
        <v>238</v>
      </c>
      <c r="H163" t="s">
        <v>460</v>
      </c>
      <c r="I163" t="s">
        <v>44</v>
      </c>
      <c r="J163" t="s">
        <v>236</v>
      </c>
      <c r="K163" t="s">
        <v>240</v>
      </c>
      <c r="L163" t="s">
        <v>241</v>
      </c>
      <c r="M163">
        <v>7000</v>
      </c>
      <c r="N163">
        <v>42</v>
      </c>
      <c r="P163">
        <v>4551</v>
      </c>
      <c r="Q163" t="s">
        <v>461</v>
      </c>
      <c r="R163">
        <v>751.3</v>
      </c>
      <c r="S163">
        <v>751.3</v>
      </c>
      <c r="T163">
        <v>0</v>
      </c>
      <c r="U163" t="s">
        <v>34</v>
      </c>
    </row>
    <row r="164" spans="1:23" x14ac:dyDescent="0.25">
      <c r="A164">
        <f t="shared" ca="1" si="14"/>
        <v>0</v>
      </c>
      <c r="C164">
        <f t="shared" ca="1" si="15"/>
        <v>0</v>
      </c>
      <c r="D164" t="s">
        <v>236</v>
      </c>
      <c r="E164" t="s">
        <v>237</v>
      </c>
      <c r="F164">
        <v>69</v>
      </c>
      <c r="G164" t="s">
        <v>238</v>
      </c>
      <c r="H164" t="s">
        <v>460</v>
      </c>
      <c r="I164" t="s">
        <v>44</v>
      </c>
      <c r="J164" t="s">
        <v>236</v>
      </c>
      <c r="K164" t="s">
        <v>240</v>
      </c>
      <c r="L164" t="s">
        <v>241</v>
      </c>
      <c r="M164">
        <v>7000</v>
      </c>
      <c r="N164">
        <v>42</v>
      </c>
      <c r="P164">
        <v>81</v>
      </c>
      <c r="Q164" t="s">
        <v>102</v>
      </c>
      <c r="R164">
        <v>863.27</v>
      </c>
      <c r="S164">
        <v>863.27</v>
      </c>
      <c r="T164">
        <v>0</v>
      </c>
      <c r="U164" t="s">
        <v>34</v>
      </c>
    </row>
    <row r="165" spans="1:23" x14ac:dyDescent="0.25">
      <c r="A165">
        <f t="shared" ca="1" si="14"/>
        <v>0</v>
      </c>
      <c r="C165">
        <f t="shared" ca="1" si="15"/>
        <v>0</v>
      </c>
      <c r="D165" t="s">
        <v>236</v>
      </c>
      <c r="E165" t="s">
        <v>237</v>
      </c>
      <c r="F165">
        <v>69</v>
      </c>
      <c r="G165" t="s">
        <v>238</v>
      </c>
      <c r="H165" t="s">
        <v>460</v>
      </c>
      <c r="I165" t="s">
        <v>44</v>
      </c>
      <c r="J165" t="s">
        <v>236</v>
      </c>
      <c r="K165" t="s">
        <v>240</v>
      </c>
      <c r="L165" t="s">
        <v>241</v>
      </c>
      <c r="M165">
        <v>7000</v>
      </c>
      <c r="N165">
        <v>42</v>
      </c>
      <c r="P165">
        <v>4551</v>
      </c>
      <c r="Q165" t="s">
        <v>461</v>
      </c>
      <c r="R165">
        <v>729.3</v>
      </c>
      <c r="S165">
        <v>729.3</v>
      </c>
      <c r="T165">
        <v>0</v>
      </c>
      <c r="U165" t="s">
        <v>34</v>
      </c>
    </row>
    <row r="166" spans="1:23" x14ac:dyDescent="0.25">
      <c r="A166">
        <f t="shared" ca="1" si="14"/>
        <v>0</v>
      </c>
      <c r="C166">
        <f t="shared" ca="1" si="15"/>
        <v>0</v>
      </c>
      <c r="D166" t="s">
        <v>236</v>
      </c>
      <c r="E166" t="s">
        <v>237</v>
      </c>
      <c r="F166">
        <v>69</v>
      </c>
      <c r="G166" t="s">
        <v>238</v>
      </c>
      <c r="H166" t="s">
        <v>460</v>
      </c>
      <c r="I166" t="s">
        <v>44</v>
      </c>
      <c r="J166" t="s">
        <v>236</v>
      </c>
      <c r="K166" t="s">
        <v>240</v>
      </c>
      <c r="L166" t="s">
        <v>241</v>
      </c>
      <c r="M166">
        <v>7000</v>
      </c>
      <c r="N166">
        <v>42</v>
      </c>
      <c r="P166">
        <v>81</v>
      </c>
      <c r="Q166" t="s">
        <v>102</v>
      </c>
      <c r="R166">
        <v>901.95</v>
      </c>
      <c r="S166">
        <v>901.95</v>
      </c>
      <c r="T166">
        <v>0</v>
      </c>
      <c r="U166" t="s">
        <v>34</v>
      </c>
    </row>
    <row r="167" spans="1:23" x14ac:dyDescent="0.25">
      <c r="A167">
        <f t="shared" ca="1" si="14"/>
        <v>0</v>
      </c>
      <c r="C167">
        <f t="shared" ca="1" si="15"/>
        <v>0</v>
      </c>
      <c r="D167" t="s">
        <v>236</v>
      </c>
      <c r="E167" t="s">
        <v>237</v>
      </c>
      <c r="F167">
        <v>69</v>
      </c>
      <c r="G167" t="s">
        <v>238</v>
      </c>
      <c r="H167" t="s">
        <v>462</v>
      </c>
      <c r="I167" t="s">
        <v>44</v>
      </c>
      <c r="J167" t="s">
        <v>236</v>
      </c>
      <c r="K167" t="s">
        <v>240</v>
      </c>
      <c r="L167" t="s">
        <v>241</v>
      </c>
      <c r="M167">
        <v>7000</v>
      </c>
      <c r="N167">
        <v>42</v>
      </c>
      <c r="O167">
        <v>5052757</v>
      </c>
      <c r="P167">
        <v>81</v>
      </c>
      <c r="Q167" t="s">
        <v>102</v>
      </c>
      <c r="R167">
        <v>2204.25</v>
      </c>
      <c r="S167">
        <v>2204.25</v>
      </c>
      <c r="T167">
        <v>0</v>
      </c>
      <c r="U167" t="s">
        <v>34</v>
      </c>
    </row>
    <row r="168" spans="1:23" x14ac:dyDescent="0.25">
      <c r="A168">
        <f t="shared" ca="1" si="14"/>
        <v>0</v>
      </c>
      <c r="C168">
        <f t="shared" ca="1" si="15"/>
        <v>0</v>
      </c>
      <c r="D168" t="s">
        <v>236</v>
      </c>
      <c r="E168" t="s">
        <v>237</v>
      </c>
      <c r="F168">
        <v>69</v>
      </c>
      <c r="G168" t="s">
        <v>238</v>
      </c>
      <c r="H168" t="s">
        <v>463</v>
      </c>
      <c r="I168" t="s">
        <v>44</v>
      </c>
      <c r="J168" t="s">
        <v>236</v>
      </c>
      <c r="K168" t="s">
        <v>240</v>
      </c>
      <c r="L168" t="s">
        <v>241</v>
      </c>
      <c r="M168">
        <v>7000</v>
      </c>
      <c r="N168">
        <v>42</v>
      </c>
      <c r="P168">
        <v>2625</v>
      </c>
      <c r="Q168" t="s">
        <v>242</v>
      </c>
      <c r="R168">
        <v>165</v>
      </c>
      <c r="T168">
        <v>165</v>
      </c>
    </row>
    <row r="169" spans="1:23" x14ac:dyDescent="0.25">
      <c r="A169">
        <f t="shared" ca="1" si="14"/>
        <v>0</v>
      </c>
      <c r="C169">
        <f t="shared" ca="1" si="15"/>
        <v>0</v>
      </c>
      <c r="D169" t="s">
        <v>95</v>
      </c>
      <c r="E169" t="s">
        <v>58</v>
      </c>
      <c r="F169">
        <v>1294</v>
      </c>
      <c r="G169" t="s">
        <v>464</v>
      </c>
      <c r="H169" t="s">
        <v>465</v>
      </c>
      <c r="I169" t="s">
        <v>30</v>
      </c>
      <c r="J169" t="s">
        <v>95</v>
      </c>
      <c r="K169" t="s">
        <v>61</v>
      </c>
      <c r="L169" t="s">
        <v>466</v>
      </c>
      <c r="P169">
        <v>5988</v>
      </c>
      <c r="Q169" t="s">
        <v>467</v>
      </c>
      <c r="R169">
        <v>2880.87</v>
      </c>
      <c r="S169">
        <v>2880.87</v>
      </c>
      <c r="T169">
        <v>0</v>
      </c>
      <c r="U169" t="s">
        <v>34</v>
      </c>
    </row>
    <row r="170" spans="1:23" x14ac:dyDescent="0.25">
      <c r="A170">
        <f t="shared" ca="1" si="14"/>
        <v>0</v>
      </c>
      <c r="C170">
        <f t="shared" ca="1" si="15"/>
        <v>0</v>
      </c>
      <c r="D170" t="s">
        <v>35</v>
      </c>
      <c r="E170" t="s">
        <v>58</v>
      </c>
      <c r="F170">
        <v>340</v>
      </c>
      <c r="G170" t="s">
        <v>426</v>
      </c>
      <c r="H170" t="s">
        <v>468</v>
      </c>
      <c r="I170" t="s">
        <v>30</v>
      </c>
      <c r="J170" t="s">
        <v>35</v>
      </c>
      <c r="K170" t="s">
        <v>61</v>
      </c>
      <c r="L170" t="s">
        <v>469</v>
      </c>
      <c r="P170">
        <v>1499</v>
      </c>
      <c r="Q170" t="s">
        <v>470</v>
      </c>
      <c r="R170">
        <v>2422.0100000000002</v>
      </c>
      <c r="S170">
        <v>2422.0100000000002</v>
      </c>
      <c r="T170">
        <v>0</v>
      </c>
    </row>
    <row r="171" spans="1:23" x14ac:dyDescent="0.25">
      <c r="A171">
        <f t="shared" ca="1" si="14"/>
        <v>0</v>
      </c>
      <c r="C171">
        <f t="shared" ca="1" si="15"/>
        <v>0</v>
      </c>
      <c r="D171" t="s">
        <v>41</v>
      </c>
      <c r="E171" t="s">
        <v>237</v>
      </c>
      <c r="F171">
        <v>2066</v>
      </c>
      <c r="G171" t="s">
        <v>471</v>
      </c>
      <c r="H171" t="s">
        <v>472</v>
      </c>
      <c r="I171" t="s">
        <v>44</v>
      </c>
      <c r="J171" t="s">
        <v>41</v>
      </c>
      <c r="K171" t="s">
        <v>240</v>
      </c>
      <c r="L171" t="s">
        <v>473</v>
      </c>
      <c r="O171">
        <v>5121772</v>
      </c>
      <c r="P171">
        <v>25204</v>
      </c>
      <c r="Q171" t="s">
        <v>46</v>
      </c>
      <c r="R171">
        <v>6779.21</v>
      </c>
      <c r="T171">
        <v>6779.21</v>
      </c>
    </row>
    <row r="172" spans="1:23" x14ac:dyDescent="0.25">
      <c r="A172">
        <f t="shared" ca="1" si="14"/>
        <v>0</v>
      </c>
      <c r="C172">
        <f t="shared" ca="1" si="15"/>
        <v>0</v>
      </c>
      <c r="D172" t="s">
        <v>355</v>
      </c>
      <c r="E172" t="s">
        <v>297</v>
      </c>
      <c r="F172">
        <v>1352</v>
      </c>
      <c r="G172" t="s">
        <v>359</v>
      </c>
      <c r="H172" t="s">
        <v>474</v>
      </c>
      <c r="I172" t="s">
        <v>30</v>
      </c>
      <c r="J172" t="s">
        <v>355</v>
      </c>
      <c r="K172" t="s">
        <v>300</v>
      </c>
      <c r="L172" t="s">
        <v>475</v>
      </c>
      <c r="M172">
        <v>14000</v>
      </c>
      <c r="N172">
        <v>505</v>
      </c>
      <c r="O172">
        <v>5024652</v>
      </c>
      <c r="P172">
        <v>21225</v>
      </c>
      <c r="Q172" t="s">
        <v>367</v>
      </c>
      <c r="R172">
        <v>13412.31</v>
      </c>
      <c r="T172">
        <v>13412.31</v>
      </c>
      <c r="U172" t="s">
        <v>107</v>
      </c>
      <c r="V172" s="1">
        <v>46286</v>
      </c>
      <c r="W172" s="1">
        <v>46307</v>
      </c>
    </row>
    <row r="173" spans="1:23" x14ac:dyDescent="0.25">
      <c r="A173">
        <f t="shared" ca="1" si="14"/>
        <v>0</v>
      </c>
      <c r="C173">
        <f t="shared" ca="1" si="15"/>
        <v>0</v>
      </c>
      <c r="D173" t="s">
        <v>355</v>
      </c>
      <c r="E173" t="s">
        <v>297</v>
      </c>
      <c r="F173">
        <v>1352</v>
      </c>
      <c r="G173" t="s">
        <v>359</v>
      </c>
      <c r="H173" t="s">
        <v>476</v>
      </c>
      <c r="I173" t="s">
        <v>30</v>
      </c>
      <c r="J173" t="s">
        <v>355</v>
      </c>
      <c r="K173" t="s">
        <v>300</v>
      </c>
      <c r="L173" t="s">
        <v>477</v>
      </c>
      <c r="M173">
        <v>9000</v>
      </c>
      <c r="N173">
        <v>506</v>
      </c>
      <c r="O173">
        <v>5098432</v>
      </c>
      <c r="P173">
        <v>8205</v>
      </c>
      <c r="Q173" t="s">
        <v>422</v>
      </c>
      <c r="R173">
        <v>9040.2000000000007</v>
      </c>
      <c r="T173">
        <v>9040.2000000000007</v>
      </c>
      <c r="U173" t="s">
        <v>40</v>
      </c>
      <c r="V173" s="1">
        <v>46266</v>
      </c>
      <c r="W173" s="1">
        <v>46290</v>
      </c>
    </row>
    <row r="174" spans="1:23" x14ac:dyDescent="0.25">
      <c r="A174">
        <f t="shared" ca="1" si="14"/>
        <v>0</v>
      </c>
      <c r="C174">
        <f t="shared" ca="1" si="15"/>
        <v>0</v>
      </c>
      <c r="D174" t="s">
        <v>35</v>
      </c>
      <c r="E174" t="s">
        <v>297</v>
      </c>
      <c r="F174">
        <v>1352</v>
      </c>
      <c r="G174" t="s">
        <v>359</v>
      </c>
      <c r="H174" t="s">
        <v>478</v>
      </c>
      <c r="I174" t="s">
        <v>30</v>
      </c>
      <c r="J174" t="s">
        <v>35</v>
      </c>
      <c r="K174" t="s">
        <v>300</v>
      </c>
      <c r="L174" t="s">
        <v>479</v>
      </c>
      <c r="M174">
        <v>4000</v>
      </c>
      <c r="N174">
        <v>507</v>
      </c>
      <c r="O174">
        <v>5033111</v>
      </c>
      <c r="P174">
        <v>21225</v>
      </c>
      <c r="Q174" t="s">
        <v>367</v>
      </c>
      <c r="R174">
        <v>4482.5</v>
      </c>
      <c r="S174">
        <v>4482.5</v>
      </c>
      <c r="T174">
        <v>0</v>
      </c>
      <c r="U174" t="s">
        <v>34</v>
      </c>
      <c r="V174" s="1">
        <v>46076</v>
      </c>
      <c r="W174" s="1">
        <v>46080</v>
      </c>
    </row>
    <row r="175" spans="1:23" x14ac:dyDescent="0.25">
      <c r="A175">
        <f t="shared" ca="1" si="14"/>
        <v>0</v>
      </c>
      <c r="C175">
        <f t="shared" ca="1" si="15"/>
        <v>0</v>
      </c>
      <c r="D175" t="s">
        <v>26</v>
      </c>
      <c r="E175" t="s">
        <v>297</v>
      </c>
      <c r="F175">
        <v>1353</v>
      </c>
      <c r="G175" t="s">
        <v>372</v>
      </c>
      <c r="H175" t="s">
        <v>480</v>
      </c>
      <c r="I175" t="s">
        <v>30</v>
      </c>
      <c r="J175" t="s">
        <v>26</v>
      </c>
      <c r="K175" t="s">
        <v>300</v>
      </c>
      <c r="L175" t="s">
        <v>481</v>
      </c>
      <c r="M175">
        <v>5000</v>
      </c>
      <c r="N175">
        <v>508</v>
      </c>
      <c r="O175">
        <v>5043696</v>
      </c>
      <c r="P175">
        <v>7185</v>
      </c>
      <c r="Q175" t="s">
        <v>364</v>
      </c>
      <c r="R175">
        <v>11396</v>
      </c>
      <c r="T175">
        <v>11396</v>
      </c>
      <c r="U175" t="s">
        <v>40</v>
      </c>
      <c r="V175" s="1">
        <v>46132</v>
      </c>
      <c r="W175" s="1">
        <v>46136</v>
      </c>
    </row>
    <row r="176" spans="1:23" x14ac:dyDescent="0.25">
      <c r="A176">
        <f t="shared" ca="1" si="14"/>
        <v>0</v>
      </c>
      <c r="C176">
        <f t="shared" ca="1" si="15"/>
        <v>0</v>
      </c>
      <c r="D176" t="s">
        <v>88</v>
      </c>
      <c r="E176" t="s">
        <v>297</v>
      </c>
      <c r="F176">
        <v>1420</v>
      </c>
      <c r="G176" t="s">
        <v>359</v>
      </c>
      <c r="H176" t="s">
        <v>415</v>
      </c>
      <c r="I176" t="s">
        <v>30</v>
      </c>
      <c r="J176" t="s">
        <v>88</v>
      </c>
      <c r="K176" t="s">
        <v>300</v>
      </c>
      <c r="L176" t="s">
        <v>482</v>
      </c>
      <c r="M176">
        <v>3000</v>
      </c>
      <c r="N176">
        <v>509</v>
      </c>
    </row>
    <row r="177" spans="1:24" x14ac:dyDescent="0.25">
      <c r="A177">
        <f t="shared" ca="1" si="14"/>
        <v>0</v>
      </c>
      <c r="C177">
        <f t="shared" ca="1" si="15"/>
        <v>0</v>
      </c>
      <c r="D177" t="s">
        <v>35</v>
      </c>
      <c r="E177" t="s">
        <v>297</v>
      </c>
      <c r="F177">
        <v>1453</v>
      </c>
      <c r="G177" t="s">
        <v>298</v>
      </c>
      <c r="H177" t="s">
        <v>369</v>
      </c>
      <c r="I177" t="s">
        <v>30</v>
      </c>
      <c r="J177" t="s">
        <v>35</v>
      </c>
      <c r="K177" t="s">
        <v>300</v>
      </c>
      <c r="L177" t="s">
        <v>483</v>
      </c>
      <c r="M177">
        <v>5000</v>
      </c>
      <c r="N177">
        <v>511</v>
      </c>
      <c r="O177">
        <v>5024457</v>
      </c>
      <c r="P177">
        <v>3978</v>
      </c>
      <c r="Q177" t="s">
        <v>484</v>
      </c>
      <c r="R177">
        <v>4345</v>
      </c>
      <c r="S177">
        <v>4345</v>
      </c>
      <c r="T177">
        <v>0</v>
      </c>
      <c r="U177" t="s">
        <v>34</v>
      </c>
      <c r="V177" s="1">
        <v>46056</v>
      </c>
      <c r="W177" s="1">
        <v>46086</v>
      </c>
    </row>
    <row r="178" spans="1:24" x14ac:dyDescent="0.25">
      <c r="A178">
        <f t="shared" ca="1" si="14"/>
        <v>0</v>
      </c>
      <c r="C178">
        <f t="shared" ca="1" si="15"/>
        <v>0</v>
      </c>
      <c r="D178" t="s">
        <v>88</v>
      </c>
      <c r="E178" t="s">
        <v>297</v>
      </c>
      <c r="F178">
        <v>1831</v>
      </c>
      <c r="G178" t="s">
        <v>304</v>
      </c>
      <c r="H178" t="s">
        <v>403</v>
      </c>
      <c r="I178" t="s">
        <v>30</v>
      </c>
      <c r="J178" t="s">
        <v>88</v>
      </c>
      <c r="K178" t="s">
        <v>300</v>
      </c>
      <c r="L178" t="s">
        <v>485</v>
      </c>
      <c r="M178">
        <v>2000</v>
      </c>
      <c r="N178">
        <v>512</v>
      </c>
      <c r="O178">
        <v>5037714</v>
      </c>
      <c r="P178">
        <v>5832</v>
      </c>
      <c r="Q178" t="s">
        <v>302</v>
      </c>
      <c r="R178">
        <v>1524.6</v>
      </c>
      <c r="S178">
        <v>1524.6</v>
      </c>
      <c r="T178">
        <v>0</v>
      </c>
      <c r="U178" t="s">
        <v>34</v>
      </c>
      <c r="V178" s="1">
        <v>46084</v>
      </c>
      <c r="W178" s="1">
        <v>46087</v>
      </c>
    </row>
    <row r="179" spans="1:24" x14ac:dyDescent="0.25">
      <c r="A179">
        <f t="shared" ca="1" si="14"/>
        <v>0</v>
      </c>
      <c r="C179">
        <f t="shared" ca="1" si="15"/>
        <v>0</v>
      </c>
      <c r="D179" t="s">
        <v>79</v>
      </c>
      <c r="E179" t="s">
        <v>297</v>
      </c>
      <c r="F179">
        <v>1831</v>
      </c>
      <c r="G179" t="s">
        <v>304</v>
      </c>
      <c r="H179" t="s">
        <v>403</v>
      </c>
      <c r="I179" t="s">
        <v>30</v>
      </c>
      <c r="J179" t="s">
        <v>79</v>
      </c>
      <c r="K179" t="s">
        <v>300</v>
      </c>
      <c r="L179" t="s">
        <v>486</v>
      </c>
      <c r="M179">
        <v>20000</v>
      </c>
      <c r="N179">
        <v>513</v>
      </c>
      <c r="O179">
        <v>5033086</v>
      </c>
      <c r="P179">
        <v>17684</v>
      </c>
      <c r="Q179" t="s">
        <v>412</v>
      </c>
      <c r="R179">
        <v>16702.22</v>
      </c>
      <c r="S179">
        <v>16702.22</v>
      </c>
      <c r="T179">
        <v>0</v>
      </c>
      <c r="U179" t="s">
        <v>34</v>
      </c>
      <c r="V179" s="1">
        <v>46071</v>
      </c>
      <c r="W179" s="1">
        <v>46087</v>
      </c>
    </row>
    <row r="180" spans="1:24" x14ac:dyDescent="0.25">
      <c r="A180">
        <f t="shared" ca="1" si="14"/>
        <v>0</v>
      </c>
      <c r="C180">
        <f t="shared" ca="1" si="15"/>
        <v>0</v>
      </c>
      <c r="D180" t="s">
        <v>26</v>
      </c>
      <c r="E180" t="s">
        <v>297</v>
      </c>
      <c r="F180">
        <v>1978</v>
      </c>
      <c r="G180" t="s">
        <v>304</v>
      </c>
      <c r="H180" t="s">
        <v>487</v>
      </c>
      <c r="I180" t="s">
        <v>30</v>
      </c>
      <c r="J180" t="s">
        <v>26</v>
      </c>
      <c r="K180" t="s">
        <v>300</v>
      </c>
      <c r="L180" t="s">
        <v>488</v>
      </c>
      <c r="M180">
        <v>5000</v>
      </c>
      <c r="N180">
        <v>514</v>
      </c>
      <c r="O180">
        <v>5024516</v>
      </c>
      <c r="P180">
        <v>21225</v>
      </c>
      <c r="Q180" t="s">
        <v>367</v>
      </c>
      <c r="R180">
        <v>4675</v>
      </c>
      <c r="S180">
        <v>4675</v>
      </c>
      <c r="T180">
        <v>0</v>
      </c>
      <c r="U180" t="s">
        <v>34</v>
      </c>
      <c r="V180" s="1">
        <v>46069</v>
      </c>
      <c r="W180" s="1">
        <v>46073</v>
      </c>
    </row>
    <row r="181" spans="1:24" x14ac:dyDescent="0.25">
      <c r="A181">
        <f t="shared" ca="1" si="14"/>
        <v>0</v>
      </c>
      <c r="C181">
        <f t="shared" ca="1" si="15"/>
        <v>0</v>
      </c>
      <c r="D181" t="s">
        <v>355</v>
      </c>
      <c r="E181" t="s">
        <v>297</v>
      </c>
      <c r="F181">
        <v>1978</v>
      </c>
      <c r="G181" t="s">
        <v>304</v>
      </c>
      <c r="H181" t="s">
        <v>487</v>
      </c>
      <c r="I181" t="s">
        <v>30</v>
      </c>
      <c r="J181" t="s">
        <v>355</v>
      </c>
      <c r="K181" t="s">
        <v>300</v>
      </c>
      <c r="L181" t="s">
        <v>489</v>
      </c>
      <c r="M181">
        <v>8000</v>
      </c>
      <c r="N181">
        <v>515</v>
      </c>
      <c r="O181">
        <v>5024543</v>
      </c>
      <c r="P181">
        <v>21225</v>
      </c>
      <c r="Q181" t="s">
        <v>367</v>
      </c>
      <c r="R181">
        <v>6912.37</v>
      </c>
      <c r="S181">
        <v>6912.37</v>
      </c>
      <c r="T181">
        <v>0</v>
      </c>
      <c r="U181" t="s">
        <v>34</v>
      </c>
      <c r="V181" s="1">
        <v>46069</v>
      </c>
      <c r="W181" s="1">
        <v>46073</v>
      </c>
    </row>
    <row r="182" spans="1:24" x14ac:dyDescent="0.25">
      <c r="A182">
        <f t="shared" ca="1" si="14"/>
        <v>0</v>
      </c>
      <c r="C182">
        <f t="shared" ca="1" si="15"/>
        <v>0</v>
      </c>
      <c r="D182" t="s">
        <v>355</v>
      </c>
      <c r="E182" t="s">
        <v>297</v>
      </c>
      <c r="F182">
        <v>2001</v>
      </c>
      <c r="G182" t="s">
        <v>372</v>
      </c>
      <c r="H182" t="s">
        <v>490</v>
      </c>
      <c r="I182" t="s">
        <v>30</v>
      </c>
      <c r="J182" t="s">
        <v>355</v>
      </c>
      <c r="K182" t="s">
        <v>300</v>
      </c>
      <c r="L182" t="s">
        <v>491</v>
      </c>
      <c r="M182">
        <v>15000</v>
      </c>
      <c r="N182">
        <v>516</v>
      </c>
      <c r="O182">
        <v>5033117</v>
      </c>
      <c r="P182">
        <v>21225</v>
      </c>
      <c r="Q182" t="s">
        <v>367</v>
      </c>
      <c r="R182">
        <v>10579.63</v>
      </c>
      <c r="T182">
        <v>10579.63</v>
      </c>
      <c r="U182" t="s">
        <v>40</v>
      </c>
      <c r="V182" s="1">
        <v>46090</v>
      </c>
      <c r="W182" s="1">
        <v>46101</v>
      </c>
    </row>
    <row r="183" spans="1:24" x14ac:dyDescent="0.25">
      <c r="A183">
        <f t="shared" ca="1" si="14"/>
        <v>0</v>
      </c>
      <c r="C183">
        <f t="shared" ca="1" si="15"/>
        <v>0</v>
      </c>
      <c r="D183" t="s">
        <v>26</v>
      </c>
      <c r="E183" t="s">
        <v>297</v>
      </c>
      <c r="F183">
        <v>2001</v>
      </c>
      <c r="G183" t="s">
        <v>372</v>
      </c>
      <c r="H183" t="s">
        <v>375</v>
      </c>
      <c r="I183" t="s">
        <v>30</v>
      </c>
      <c r="J183" t="s">
        <v>26</v>
      </c>
      <c r="K183" t="s">
        <v>300</v>
      </c>
      <c r="L183" t="s">
        <v>492</v>
      </c>
      <c r="M183">
        <v>8000</v>
      </c>
      <c r="N183">
        <v>517</v>
      </c>
      <c r="O183">
        <v>5018575</v>
      </c>
      <c r="P183">
        <v>5700</v>
      </c>
      <c r="Q183" t="s">
        <v>493</v>
      </c>
      <c r="R183">
        <v>11337.04</v>
      </c>
      <c r="S183">
        <v>11337.04</v>
      </c>
      <c r="T183">
        <v>0</v>
      </c>
      <c r="U183" t="s">
        <v>34</v>
      </c>
      <c r="V183" s="1">
        <v>46069</v>
      </c>
      <c r="W183" s="1">
        <v>46072</v>
      </c>
    </row>
    <row r="184" spans="1:24" x14ac:dyDescent="0.25">
      <c r="A184">
        <f t="shared" ca="1" si="14"/>
        <v>0</v>
      </c>
      <c r="C184">
        <f t="shared" ca="1" si="15"/>
        <v>0</v>
      </c>
      <c r="D184" t="s">
        <v>88</v>
      </c>
      <c r="E184" t="s">
        <v>297</v>
      </c>
      <c r="F184">
        <v>2001</v>
      </c>
      <c r="G184" t="s">
        <v>372</v>
      </c>
      <c r="H184" t="s">
        <v>380</v>
      </c>
      <c r="I184" t="s">
        <v>30</v>
      </c>
      <c r="J184" t="s">
        <v>88</v>
      </c>
      <c r="K184" t="s">
        <v>300</v>
      </c>
      <c r="L184" t="s">
        <v>494</v>
      </c>
      <c r="M184">
        <v>5000</v>
      </c>
      <c r="N184">
        <v>520</v>
      </c>
      <c r="X184" t="s">
        <v>495</v>
      </c>
    </row>
    <row r="185" spans="1:24" x14ac:dyDescent="0.25">
      <c r="A185">
        <f t="shared" ca="1" si="14"/>
        <v>0</v>
      </c>
      <c r="C185">
        <f t="shared" ca="1" si="15"/>
        <v>0</v>
      </c>
      <c r="D185" t="s">
        <v>35</v>
      </c>
      <c r="E185" t="s">
        <v>297</v>
      </c>
      <c r="F185">
        <v>2003</v>
      </c>
      <c r="G185" t="s">
        <v>372</v>
      </c>
      <c r="H185" t="s">
        <v>496</v>
      </c>
      <c r="I185" t="s">
        <v>30</v>
      </c>
      <c r="J185" t="s">
        <v>35</v>
      </c>
      <c r="K185" t="s">
        <v>300</v>
      </c>
      <c r="L185" t="s">
        <v>497</v>
      </c>
      <c r="M185">
        <v>5000</v>
      </c>
      <c r="N185">
        <v>521</v>
      </c>
      <c r="X185" t="s">
        <v>498</v>
      </c>
    </row>
    <row r="186" spans="1:24" x14ac:dyDescent="0.25">
      <c r="A186">
        <f t="shared" ca="1" si="14"/>
        <v>0</v>
      </c>
      <c r="C186">
        <f t="shared" ca="1" si="15"/>
        <v>0</v>
      </c>
      <c r="D186" t="s">
        <v>88</v>
      </c>
      <c r="E186" t="s">
        <v>297</v>
      </c>
      <c r="F186">
        <v>2020</v>
      </c>
      <c r="G186" t="s">
        <v>383</v>
      </c>
      <c r="H186" t="s">
        <v>384</v>
      </c>
      <c r="I186" t="s">
        <v>30</v>
      </c>
      <c r="J186" t="s">
        <v>88</v>
      </c>
      <c r="K186" t="s">
        <v>300</v>
      </c>
      <c r="L186" t="s">
        <v>485</v>
      </c>
      <c r="M186">
        <v>2000</v>
      </c>
      <c r="N186">
        <v>522</v>
      </c>
    </row>
    <row r="187" spans="1:24" x14ac:dyDescent="0.25">
      <c r="A187">
        <f t="shared" ca="1" si="14"/>
        <v>0</v>
      </c>
      <c r="C187">
        <f t="shared" ca="1" si="15"/>
        <v>0</v>
      </c>
      <c r="D187" t="s">
        <v>355</v>
      </c>
      <c r="E187" t="s">
        <v>297</v>
      </c>
      <c r="F187">
        <v>2020</v>
      </c>
      <c r="G187" t="s">
        <v>383</v>
      </c>
      <c r="H187" t="s">
        <v>384</v>
      </c>
      <c r="I187" t="s">
        <v>30</v>
      </c>
      <c r="J187" t="s">
        <v>355</v>
      </c>
      <c r="K187" t="s">
        <v>300</v>
      </c>
      <c r="L187" t="s">
        <v>499</v>
      </c>
      <c r="M187">
        <v>10000</v>
      </c>
      <c r="N187">
        <v>523</v>
      </c>
      <c r="X187" t="s">
        <v>500</v>
      </c>
    </row>
    <row r="189" spans="1:24" x14ac:dyDescent="0.25">
      <c r="A189">
        <f ca="1">+ Cmde</f>
        <v>0</v>
      </c>
      <c r="C189">
        <f ca="1">+ Devis</f>
        <v>0</v>
      </c>
      <c r="D189" t="s">
        <v>26</v>
      </c>
      <c r="E189" t="s">
        <v>297</v>
      </c>
      <c r="F189">
        <v>2289</v>
      </c>
      <c r="G189" t="s">
        <v>304</v>
      </c>
      <c r="H189" t="s">
        <v>392</v>
      </c>
      <c r="I189" t="s">
        <v>30</v>
      </c>
      <c r="J189" t="s">
        <v>26</v>
      </c>
      <c r="K189" t="s">
        <v>300</v>
      </c>
      <c r="L189" t="s">
        <v>501</v>
      </c>
      <c r="M189">
        <v>7000</v>
      </c>
      <c r="N189">
        <v>524</v>
      </c>
      <c r="X189" t="s">
        <v>502</v>
      </c>
    </row>
    <row r="190" spans="1:24" x14ac:dyDescent="0.25">
      <c r="A190">
        <f ca="1">+ Cmde</f>
        <v>0</v>
      </c>
      <c r="C190">
        <f ca="1">+ Devis</f>
        <v>0</v>
      </c>
      <c r="D190" t="s">
        <v>368</v>
      </c>
      <c r="E190" t="s">
        <v>445</v>
      </c>
      <c r="F190">
        <v>2292</v>
      </c>
      <c r="G190" t="s">
        <v>446</v>
      </c>
      <c r="H190" t="s">
        <v>503</v>
      </c>
      <c r="I190" t="s">
        <v>187</v>
      </c>
      <c r="J190" t="s">
        <v>368</v>
      </c>
      <c r="K190" t="s">
        <v>448</v>
      </c>
      <c r="L190" t="s">
        <v>504</v>
      </c>
      <c r="M190">
        <v>7000</v>
      </c>
      <c r="N190">
        <v>525</v>
      </c>
      <c r="X190" t="s">
        <v>505</v>
      </c>
    </row>
    <row r="192" spans="1:24" x14ac:dyDescent="0.25">
      <c r="A192">
        <f ca="1">+ Cmde</f>
        <v>0</v>
      </c>
      <c r="C192">
        <f ca="1">+ Devis</f>
        <v>0</v>
      </c>
      <c r="D192" t="s">
        <v>368</v>
      </c>
      <c r="E192" t="s">
        <v>445</v>
      </c>
      <c r="F192">
        <v>1402</v>
      </c>
      <c r="G192" t="s">
        <v>446</v>
      </c>
      <c r="H192" t="s">
        <v>506</v>
      </c>
      <c r="I192" t="s">
        <v>187</v>
      </c>
      <c r="J192" t="s">
        <v>368</v>
      </c>
      <c r="K192" t="s">
        <v>448</v>
      </c>
      <c r="L192" t="s">
        <v>507</v>
      </c>
      <c r="M192">
        <v>7500</v>
      </c>
      <c r="N192">
        <v>526</v>
      </c>
      <c r="O192">
        <v>5061140</v>
      </c>
      <c r="P192">
        <v>5832</v>
      </c>
      <c r="Q192" t="s">
        <v>302</v>
      </c>
      <c r="R192">
        <v>7316.61</v>
      </c>
      <c r="S192">
        <v>7316.61</v>
      </c>
      <c r="T192">
        <v>0</v>
      </c>
      <c r="U192" t="s">
        <v>34</v>
      </c>
    </row>
    <row r="193" spans="1:24" x14ac:dyDescent="0.25">
      <c r="A193">
        <f ca="1">+ Cmde</f>
        <v>0</v>
      </c>
      <c r="C193">
        <f ca="1">+ Devis</f>
        <v>0</v>
      </c>
      <c r="D193" t="s">
        <v>285</v>
      </c>
      <c r="E193" t="s">
        <v>445</v>
      </c>
      <c r="F193">
        <v>1718</v>
      </c>
      <c r="G193" t="s">
        <v>508</v>
      </c>
      <c r="H193" t="s">
        <v>509</v>
      </c>
      <c r="I193" t="s">
        <v>187</v>
      </c>
      <c r="J193" t="s">
        <v>285</v>
      </c>
      <c r="K193" t="s">
        <v>448</v>
      </c>
      <c r="L193" t="s">
        <v>510</v>
      </c>
      <c r="M193">
        <v>5000</v>
      </c>
      <c r="N193">
        <v>528</v>
      </c>
      <c r="O193">
        <v>5046501</v>
      </c>
      <c r="P193">
        <v>21743</v>
      </c>
      <c r="Q193" t="s">
        <v>511</v>
      </c>
      <c r="R193">
        <v>2317.6999999999998</v>
      </c>
      <c r="S193">
        <v>2317.6999999999998</v>
      </c>
      <c r="T193">
        <v>0</v>
      </c>
      <c r="U193" t="s">
        <v>34</v>
      </c>
    </row>
    <row r="194" spans="1:24" x14ac:dyDescent="0.25">
      <c r="A194">
        <f ca="1">+ Cmde</f>
        <v>0</v>
      </c>
      <c r="C194">
        <f ca="1">+ Devis</f>
        <v>0</v>
      </c>
      <c r="D194" t="s">
        <v>285</v>
      </c>
      <c r="E194" t="s">
        <v>445</v>
      </c>
      <c r="F194">
        <v>1850</v>
      </c>
      <c r="G194" t="s">
        <v>446</v>
      </c>
      <c r="H194" t="s">
        <v>512</v>
      </c>
      <c r="I194" t="s">
        <v>187</v>
      </c>
      <c r="J194" t="s">
        <v>285</v>
      </c>
      <c r="K194" t="s">
        <v>448</v>
      </c>
      <c r="L194" t="s">
        <v>513</v>
      </c>
      <c r="M194">
        <v>4000</v>
      </c>
      <c r="N194">
        <v>529</v>
      </c>
      <c r="O194">
        <v>5079166</v>
      </c>
      <c r="P194">
        <v>21743</v>
      </c>
      <c r="Q194" t="s">
        <v>511</v>
      </c>
      <c r="R194">
        <v>3960</v>
      </c>
      <c r="S194">
        <v>3960</v>
      </c>
      <c r="T194">
        <v>0</v>
      </c>
      <c r="U194" t="s">
        <v>34</v>
      </c>
      <c r="X194" t="s">
        <v>514</v>
      </c>
    </row>
    <row r="196" spans="1:24" x14ac:dyDescent="0.25">
      <c r="A196">
        <f ca="1">+ Cmde</f>
        <v>0</v>
      </c>
      <c r="C196">
        <f ca="1">+ Devis</f>
        <v>0</v>
      </c>
      <c r="D196" t="s">
        <v>285</v>
      </c>
      <c r="E196" t="s">
        <v>445</v>
      </c>
      <c r="F196">
        <v>1975</v>
      </c>
      <c r="G196" t="s">
        <v>508</v>
      </c>
      <c r="H196" t="s">
        <v>515</v>
      </c>
      <c r="I196" t="s">
        <v>187</v>
      </c>
      <c r="J196" t="s">
        <v>285</v>
      </c>
      <c r="K196" t="s">
        <v>448</v>
      </c>
      <c r="L196" t="s">
        <v>516</v>
      </c>
      <c r="M196">
        <v>8500</v>
      </c>
      <c r="N196">
        <v>530</v>
      </c>
      <c r="O196">
        <v>5064691</v>
      </c>
      <c r="P196">
        <v>5700</v>
      </c>
      <c r="Q196" t="s">
        <v>493</v>
      </c>
      <c r="R196">
        <v>8415</v>
      </c>
      <c r="S196">
        <v>8415</v>
      </c>
      <c r="T196">
        <v>0</v>
      </c>
      <c r="U196" t="s">
        <v>34</v>
      </c>
      <c r="X196" t="s">
        <v>517</v>
      </c>
    </row>
    <row r="197" spans="1:24" x14ac:dyDescent="0.25">
      <c r="A197">
        <f ca="1">+ Cmde</f>
        <v>0</v>
      </c>
      <c r="C197">
        <f ca="1">+ Devis</f>
        <v>0</v>
      </c>
      <c r="D197" t="s">
        <v>221</v>
      </c>
      <c r="E197" t="s">
        <v>445</v>
      </c>
      <c r="F197">
        <v>2072</v>
      </c>
      <c r="G197" t="s">
        <v>518</v>
      </c>
      <c r="H197" t="s">
        <v>519</v>
      </c>
      <c r="I197" t="s">
        <v>187</v>
      </c>
      <c r="J197" t="s">
        <v>221</v>
      </c>
      <c r="K197" t="s">
        <v>448</v>
      </c>
      <c r="L197" t="s">
        <v>520</v>
      </c>
      <c r="M197">
        <v>2000</v>
      </c>
      <c r="N197">
        <v>532</v>
      </c>
      <c r="X197" t="s">
        <v>450</v>
      </c>
    </row>
    <row r="198" spans="1:24" x14ac:dyDescent="0.25">
      <c r="A198">
        <f ca="1">+ Cmde</f>
        <v>0</v>
      </c>
      <c r="C198">
        <f ca="1">+ Devis</f>
        <v>0</v>
      </c>
      <c r="D198" t="s">
        <v>285</v>
      </c>
      <c r="E198" t="s">
        <v>445</v>
      </c>
      <c r="F198">
        <v>2120</v>
      </c>
      <c r="G198" t="s">
        <v>521</v>
      </c>
      <c r="H198" t="s">
        <v>522</v>
      </c>
      <c r="I198" t="s">
        <v>187</v>
      </c>
      <c r="J198" t="s">
        <v>285</v>
      </c>
      <c r="K198" t="s">
        <v>448</v>
      </c>
      <c r="L198" t="s">
        <v>523</v>
      </c>
      <c r="M198">
        <v>3000</v>
      </c>
      <c r="N198">
        <v>533</v>
      </c>
      <c r="X198" t="s">
        <v>524</v>
      </c>
    </row>
    <row r="200" spans="1:24" x14ac:dyDescent="0.25">
      <c r="A200">
        <f t="shared" ref="A200:A220" ca="1" si="16">+ Cmde</f>
        <v>0</v>
      </c>
      <c r="C200">
        <f t="shared" ref="C200:C220" ca="1" si="17">+ Devis</f>
        <v>0</v>
      </c>
      <c r="D200" t="s">
        <v>285</v>
      </c>
      <c r="E200" t="s">
        <v>445</v>
      </c>
      <c r="F200">
        <v>2365</v>
      </c>
      <c r="G200" t="s">
        <v>525</v>
      </c>
      <c r="H200" t="s">
        <v>526</v>
      </c>
      <c r="I200" t="s">
        <v>187</v>
      </c>
      <c r="J200" t="s">
        <v>285</v>
      </c>
      <c r="K200" t="s">
        <v>448</v>
      </c>
      <c r="L200" t="s">
        <v>527</v>
      </c>
      <c r="M200">
        <v>5000</v>
      </c>
      <c r="N200">
        <v>535</v>
      </c>
      <c r="O200">
        <v>5070110</v>
      </c>
      <c r="P200">
        <v>8168</v>
      </c>
      <c r="Q200" t="s">
        <v>385</v>
      </c>
      <c r="R200">
        <v>5177.1400000000003</v>
      </c>
      <c r="S200">
        <v>5177.1400000000003</v>
      </c>
      <c r="T200">
        <v>0</v>
      </c>
      <c r="U200" t="s">
        <v>34</v>
      </c>
    </row>
    <row r="201" spans="1:24" x14ac:dyDescent="0.25">
      <c r="A201">
        <f t="shared" ca="1" si="16"/>
        <v>0</v>
      </c>
      <c r="C201">
        <f t="shared" ca="1" si="17"/>
        <v>0</v>
      </c>
      <c r="D201" t="s">
        <v>41</v>
      </c>
      <c r="E201" t="s">
        <v>445</v>
      </c>
      <c r="F201">
        <v>1397</v>
      </c>
      <c r="G201" t="s">
        <v>508</v>
      </c>
      <c r="H201" t="s">
        <v>528</v>
      </c>
      <c r="I201" t="s">
        <v>44</v>
      </c>
      <c r="J201" t="s">
        <v>41</v>
      </c>
      <c r="K201" t="s">
        <v>448</v>
      </c>
      <c r="L201" t="s">
        <v>529</v>
      </c>
      <c r="M201">
        <v>5000</v>
      </c>
      <c r="N201">
        <v>536</v>
      </c>
      <c r="O201">
        <v>5101607</v>
      </c>
      <c r="P201">
        <v>8168</v>
      </c>
      <c r="Q201" t="s">
        <v>385</v>
      </c>
      <c r="R201">
        <v>2527.25</v>
      </c>
      <c r="T201">
        <v>2527.25</v>
      </c>
      <c r="X201" t="s">
        <v>530</v>
      </c>
    </row>
    <row r="202" spans="1:24" x14ac:dyDescent="0.25">
      <c r="A202">
        <f t="shared" ca="1" si="16"/>
        <v>0</v>
      </c>
      <c r="C202">
        <f t="shared" ca="1" si="17"/>
        <v>0</v>
      </c>
      <c r="D202" t="s">
        <v>41</v>
      </c>
      <c r="E202" t="s">
        <v>445</v>
      </c>
      <c r="F202">
        <v>1398</v>
      </c>
      <c r="G202" t="s">
        <v>508</v>
      </c>
      <c r="H202" t="s">
        <v>531</v>
      </c>
      <c r="I202" t="s">
        <v>44</v>
      </c>
      <c r="J202" t="s">
        <v>41</v>
      </c>
      <c r="K202" t="s">
        <v>448</v>
      </c>
      <c r="L202" t="s">
        <v>389</v>
      </c>
      <c r="M202">
        <v>6000</v>
      </c>
      <c r="N202">
        <v>537</v>
      </c>
      <c r="O202">
        <v>5101615</v>
      </c>
      <c r="P202">
        <v>8168</v>
      </c>
      <c r="Q202" t="s">
        <v>385</v>
      </c>
      <c r="R202">
        <v>1845.65</v>
      </c>
      <c r="T202">
        <v>1845.65</v>
      </c>
      <c r="X202" t="s">
        <v>532</v>
      </c>
    </row>
    <row r="203" spans="1:24" x14ac:dyDescent="0.25">
      <c r="A203">
        <f t="shared" ca="1" si="16"/>
        <v>0</v>
      </c>
      <c r="C203">
        <f t="shared" ca="1" si="17"/>
        <v>0</v>
      </c>
      <c r="D203" t="s">
        <v>41</v>
      </c>
      <c r="E203" t="s">
        <v>445</v>
      </c>
      <c r="F203">
        <v>2276</v>
      </c>
      <c r="G203" t="s">
        <v>446</v>
      </c>
      <c r="H203" t="s">
        <v>533</v>
      </c>
      <c r="I203" t="s">
        <v>44</v>
      </c>
      <c r="J203" t="s">
        <v>41</v>
      </c>
      <c r="K203" t="s">
        <v>448</v>
      </c>
      <c r="L203" t="s">
        <v>534</v>
      </c>
      <c r="M203">
        <v>13000</v>
      </c>
      <c r="N203">
        <v>538</v>
      </c>
      <c r="O203">
        <v>5076678</v>
      </c>
      <c r="P203">
        <v>5832</v>
      </c>
      <c r="Q203" t="s">
        <v>302</v>
      </c>
      <c r="R203">
        <v>13310.72</v>
      </c>
      <c r="T203">
        <v>13310.72</v>
      </c>
      <c r="U203" t="s">
        <v>34</v>
      </c>
    </row>
    <row r="204" spans="1:24" x14ac:dyDescent="0.25">
      <c r="A204">
        <f t="shared" ca="1" si="16"/>
        <v>0</v>
      </c>
      <c r="C204">
        <f t="shared" ca="1" si="17"/>
        <v>0</v>
      </c>
      <c r="D204" t="s">
        <v>209</v>
      </c>
      <c r="E204" t="s">
        <v>445</v>
      </c>
      <c r="F204">
        <v>1426</v>
      </c>
      <c r="G204" t="s">
        <v>508</v>
      </c>
      <c r="H204" t="s">
        <v>535</v>
      </c>
      <c r="I204" t="s">
        <v>44</v>
      </c>
      <c r="J204" t="s">
        <v>209</v>
      </c>
      <c r="K204" t="s">
        <v>448</v>
      </c>
      <c r="L204" t="s">
        <v>405</v>
      </c>
      <c r="M204">
        <v>3000</v>
      </c>
      <c r="N204">
        <v>539</v>
      </c>
      <c r="X204">
        <v>2028</v>
      </c>
    </row>
    <row r="205" spans="1:24" x14ac:dyDescent="0.25">
      <c r="A205">
        <f t="shared" ca="1" si="16"/>
        <v>0</v>
      </c>
      <c r="C205">
        <f t="shared" ca="1" si="17"/>
        <v>0</v>
      </c>
      <c r="D205" t="s">
        <v>41</v>
      </c>
      <c r="E205" t="s">
        <v>445</v>
      </c>
      <c r="F205">
        <v>1430</v>
      </c>
      <c r="G205" t="s">
        <v>508</v>
      </c>
      <c r="H205" t="s">
        <v>536</v>
      </c>
      <c r="I205" t="s">
        <v>44</v>
      </c>
      <c r="J205" t="s">
        <v>41</v>
      </c>
      <c r="K205" t="s">
        <v>448</v>
      </c>
      <c r="L205" t="s">
        <v>537</v>
      </c>
      <c r="M205">
        <v>4000</v>
      </c>
      <c r="N205">
        <v>541</v>
      </c>
      <c r="X205" t="s">
        <v>538</v>
      </c>
    </row>
    <row r="206" spans="1:24" x14ac:dyDescent="0.25">
      <c r="A206">
        <f t="shared" ca="1" si="16"/>
        <v>0</v>
      </c>
      <c r="C206">
        <f t="shared" ca="1" si="17"/>
        <v>0</v>
      </c>
      <c r="D206" t="s">
        <v>209</v>
      </c>
      <c r="E206" t="s">
        <v>445</v>
      </c>
      <c r="F206">
        <v>2072</v>
      </c>
      <c r="G206" t="s">
        <v>518</v>
      </c>
      <c r="H206" t="s">
        <v>519</v>
      </c>
      <c r="I206" t="s">
        <v>44</v>
      </c>
      <c r="J206" t="s">
        <v>209</v>
      </c>
      <c r="K206" t="s">
        <v>448</v>
      </c>
      <c r="L206" t="s">
        <v>539</v>
      </c>
      <c r="M206">
        <v>14000</v>
      </c>
      <c r="N206">
        <v>542</v>
      </c>
      <c r="O206">
        <v>5060254</v>
      </c>
      <c r="P206">
        <v>30888</v>
      </c>
      <c r="Q206" t="s">
        <v>540</v>
      </c>
      <c r="R206">
        <v>14382.5</v>
      </c>
      <c r="S206">
        <v>14382.5</v>
      </c>
      <c r="T206">
        <v>0</v>
      </c>
      <c r="U206" t="s">
        <v>34</v>
      </c>
      <c r="X206" t="s">
        <v>541</v>
      </c>
    </row>
    <row r="207" spans="1:24" x14ac:dyDescent="0.25">
      <c r="A207">
        <f t="shared" ca="1" si="16"/>
        <v>0</v>
      </c>
      <c r="C207">
        <f t="shared" ca="1" si="17"/>
        <v>0</v>
      </c>
      <c r="D207" t="s">
        <v>209</v>
      </c>
      <c r="E207" t="s">
        <v>445</v>
      </c>
      <c r="F207">
        <v>2021</v>
      </c>
      <c r="G207" t="s">
        <v>521</v>
      </c>
      <c r="H207" t="s">
        <v>542</v>
      </c>
      <c r="I207" t="s">
        <v>44</v>
      </c>
      <c r="J207" t="s">
        <v>209</v>
      </c>
      <c r="K207" t="s">
        <v>448</v>
      </c>
      <c r="L207" t="s">
        <v>543</v>
      </c>
      <c r="M207">
        <v>8000</v>
      </c>
      <c r="N207">
        <v>543</v>
      </c>
      <c r="O207">
        <v>5026698</v>
      </c>
      <c r="P207">
        <v>8168</v>
      </c>
      <c r="Q207" t="s">
        <v>385</v>
      </c>
      <c r="R207">
        <v>8199.91</v>
      </c>
      <c r="S207">
        <v>8199.91</v>
      </c>
      <c r="T207">
        <v>0</v>
      </c>
      <c r="U207" t="s">
        <v>34</v>
      </c>
      <c r="V207" s="1">
        <v>46078</v>
      </c>
      <c r="W207" s="1">
        <v>46087</v>
      </c>
    </row>
    <row r="208" spans="1:24" x14ac:dyDescent="0.25">
      <c r="A208">
        <f t="shared" ca="1" si="16"/>
        <v>0</v>
      </c>
      <c r="C208">
        <f t="shared" ca="1" si="17"/>
        <v>0</v>
      </c>
      <c r="D208" t="s">
        <v>209</v>
      </c>
      <c r="E208" t="s">
        <v>445</v>
      </c>
      <c r="F208">
        <v>2118</v>
      </c>
      <c r="G208" t="s">
        <v>544</v>
      </c>
      <c r="H208" t="s">
        <v>545</v>
      </c>
      <c r="I208" t="s">
        <v>44</v>
      </c>
      <c r="J208" t="s">
        <v>209</v>
      </c>
      <c r="K208" t="s">
        <v>448</v>
      </c>
      <c r="L208" t="s">
        <v>546</v>
      </c>
      <c r="M208">
        <v>15000</v>
      </c>
      <c r="N208">
        <v>544</v>
      </c>
      <c r="O208">
        <v>5047714</v>
      </c>
      <c r="P208">
        <v>8168</v>
      </c>
      <c r="Q208" t="s">
        <v>385</v>
      </c>
      <c r="R208">
        <v>14833.59</v>
      </c>
      <c r="S208">
        <v>14833.59</v>
      </c>
      <c r="T208">
        <v>0</v>
      </c>
      <c r="U208" t="s">
        <v>34</v>
      </c>
    </row>
    <row r="209" spans="1:26" x14ac:dyDescent="0.25">
      <c r="A209">
        <f t="shared" ca="1" si="16"/>
        <v>0</v>
      </c>
      <c r="C209">
        <f t="shared" ca="1" si="17"/>
        <v>0</v>
      </c>
      <c r="D209" t="s">
        <v>209</v>
      </c>
      <c r="E209" t="s">
        <v>445</v>
      </c>
      <c r="F209">
        <v>2118</v>
      </c>
      <c r="G209" t="s">
        <v>544</v>
      </c>
      <c r="H209" t="s">
        <v>547</v>
      </c>
      <c r="I209" t="s">
        <v>44</v>
      </c>
      <c r="J209" t="s">
        <v>209</v>
      </c>
      <c r="K209" t="s">
        <v>448</v>
      </c>
      <c r="L209" t="s">
        <v>546</v>
      </c>
      <c r="M209">
        <v>15000</v>
      </c>
      <c r="N209">
        <v>545</v>
      </c>
      <c r="O209">
        <v>5047718</v>
      </c>
      <c r="P209">
        <v>8168</v>
      </c>
      <c r="Q209" t="s">
        <v>385</v>
      </c>
      <c r="R209">
        <v>14484.55</v>
      </c>
      <c r="S209">
        <v>14484.55</v>
      </c>
      <c r="T209">
        <v>0</v>
      </c>
      <c r="U209" t="s">
        <v>34</v>
      </c>
    </row>
    <row r="210" spans="1:26" x14ac:dyDescent="0.25">
      <c r="A210">
        <f t="shared" ca="1" si="16"/>
        <v>0</v>
      </c>
      <c r="C210">
        <f t="shared" ca="1" si="17"/>
        <v>0</v>
      </c>
      <c r="D210" t="s">
        <v>41</v>
      </c>
      <c r="E210" t="s">
        <v>445</v>
      </c>
      <c r="F210">
        <v>2211</v>
      </c>
      <c r="G210" t="s">
        <v>446</v>
      </c>
      <c r="H210" t="s">
        <v>548</v>
      </c>
      <c r="I210" t="s">
        <v>44</v>
      </c>
      <c r="J210" t="s">
        <v>41</v>
      </c>
      <c r="K210" t="s">
        <v>448</v>
      </c>
      <c r="L210" t="s">
        <v>549</v>
      </c>
      <c r="M210">
        <v>5000</v>
      </c>
      <c r="N210">
        <v>546</v>
      </c>
      <c r="O210">
        <v>5023307</v>
      </c>
      <c r="P210">
        <v>5832</v>
      </c>
      <c r="Q210" t="s">
        <v>302</v>
      </c>
      <c r="R210">
        <v>5045.04</v>
      </c>
      <c r="S210">
        <v>2858.79</v>
      </c>
      <c r="T210">
        <v>2186.25</v>
      </c>
      <c r="U210" t="s">
        <v>34</v>
      </c>
      <c r="Z210" s="1">
        <v>46063</v>
      </c>
    </row>
    <row r="211" spans="1:26" x14ac:dyDescent="0.25">
      <c r="A211">
        <f t="shared" ca="1" si="16"/>
        <v>0</v>
      </c>
      <c r="C211">
        <f t="shared" ca="1" si="17"/>
        <v>0</v>
      </c>
      <c r="D211" t="s">
        <v>41</v>
      </c>
      <c r="E211" t="s">
        <v>445</v>
      </c>
      <c r="F211">
        <v>2293</v>
      </c>
      <c r="G211" t="s">
        <v>508</v>
      </c>
      <c r="H211" t="s">
        <v>550</v>
      </c>
      <c r="I211" t="s">
        <v>44</v>
      </c>
      <c r="J211" t="s">
        <v>41</v>
      </c>
      <c r="K211" t="s">
        <v>448</v>
      </c>
      <c r="L211" t="s">
        <v>551</v>
      </c>
      <c r="M211">
        <v>13000</v>
      </c>
      <c r="N211">
        <v>548</v>
      </c>
      <c r="O211">
        <v>5099437</v>
      </c>
      <c r="P211">
        <v>8168</v>
      </c>
      <c r="Q211" t="s">
        <v>385</v>
      </c>
      <c r="R211">
        <v>13298.73</v>
      </c>
      <c r="T211">
        <v>13298.73</v>
      </c>
      <c r="X211" t="s">
        <v>552</v>
      </c>
    </row>
    <row r="212" spans="1:26" x14ac:dyDescent="0.25">
      <c r="A212">
        <f t="shared" ca="1" si="16"/>
        <v>0</v>
      </c>
      <c r="C212">
        <f t="shared" ca="1" si="17"/>
        <v>0</v>
      </c>
      <c r="D212" t="s">
        <v>41</v>
      </c>
      <c r="E212" t="s">
        <v>445</v>
      </c>
      <c r="F212">
        <v>1426</v>
      </c>
      <c r="G212" t="s">
        <v>508</v>
      </c>
      <c r="H212" t="s">
        <v>535</v>
      </c>
      <c r="I212" t="s">
        <v>44</v>
      </c>
      <c r="J212" t="s">
        <v>41</v>
      </c>
      <c r="K212" t="s">
        <v>448</v>
      </c>
      <c r="L212" t="s">
        <v>553</v>
      </c>
      <c r="M212">
        <v>4000</v>
      </c>
      <c r="N212">
        <v>549</v>
      </c>
      <c r="X212" t="s">
        <v>554</v>
      </c>
    </row>
    <row r="213" spans="1:26" x14ac:dyDescent="0.25">
      <c r="A213">
        <f t="shared" ca="1" si="16"/>
        <v>0</v>
      </c>
      <c r="C213">
        <f t="shared" ca="1" si="17"/>
        <v>0</v>
      </c>
      <c r="D213" t="s">
        <v>88</v>
      </c>
      <c r="E213" t="s">
        <v>445</v>
      </c>
      <c r="F213">
        <v>1400</v>
      </c>
      <c r="G213" t="s">
        <v>446</v>
      </c>
      <c r="H213" t="s">
        <v>555</v>
      </c>
      <c r="I213" t="s">
        <v>30</v>
      </c>
      <c r="J213" t="s">
        <v>88</v>
      </c>
      <c r="K213" t="s">
        <v>448</v>
      </c>
      <c r="L213" t="s">
        <v>556</v>
      </c>
      <c r="M213">
        <v>4500</v>
      </c>
      <c r="N213">
        <v>550</v>
      </c>
      <c r="O213">
        <v>5040765</v>
      </c>
      <c r="P213">
        <v>5832</v>
      </c>
      <c r="Q213" t="s">
        <v>302</v>
      </c>
      <c r="R213">
        <v>4224</v>
      </c>
      <c r="S213">
        <v>4224</v>
      </c>
      <c r="T213">
        <v>0</v>
      </c>
      <c r="U213" t="s">
        <v>34</v>
      </c>
      <c r="X213" t="s">
        <v>532</v>
      </c>
    </row>
    <row r="214" spans="1:26" x14ac:dyDescent="0.25">
      <c r="A214">
        <f t="shared" ca="1" si="16"/>
        <v>0</v>
      </c>
      <c r="C214">
        <f t="shared" ca="1" si="17"/>
        <v>0</v>
      </c>
      <c r="D214" t="s">
        <v>26</v>
      </c>
      <c r="E214" t="s">
        <v>445</v>
      </c>
      <c r="F214">
        <v>1396</v>
      </c>
      <c r="G214" t="s">
        <v>508</v>
      </c>
      <c r="H214" t="s">
        <v>557</v>
      </c>
      <c r="I214" t="s">
        <v>30</v>
      </c>
      <c r="J214" t="s">
        <v>26</v>
      </c>
      <c r="K214" t="s">
        <v>448</v>
      </c>
      <c r="L214" t="s">
        <v>558</v>
      </c>
      <c r="M214">
        <v>1000</v>
      </c>
      <c r="N214">
        <v>551</v>
      </c>
      <c r="X214" t="s">
        <v>559</v>
      </c>
    </row>
    <row r="215" spans="1:26" x14ac:dyDescent="0.25">
      <c r="A215">
        <f t="shared" ca="1" si="16"/>
        <v>0</v>
      </c>
      <c r="C215">
        <f t="shared" ca="1" si="17"/>
        <v>0</v>
      </c>
      <c r="D215" t="s">
        <v>355</v>
      </c>
      <c r="E215" t="s">
        <v>445</v>
      </c>
      <c r="F215">
        <v>1396</v>
      </c>
      <c r="G215" t="s">
        <v>508</v>
      </c>
      <c r="H215" t="s">
        <v>557</v>
      </c>
      <c r="I215" t="s">
        <v>30</v>
      </c>
      <c r="J215" t="s">
        <v>355</v>
      </c>
      <c r="K215" t="s">
        <v>448</v>
      </c>
      <c r="L215" t="s">
        <v>560</v>
      </c>
      <c r="M215">
        <v>5500</v>
      </c>
      <c r="N215">
        <v>552</v>
      </c>
      <c r="O215">
        <v>5108210</v>
      </c>
      <c r="P215">
        <v>8168</v>
      </c>
      <c r="Q215" t="s">
        <v>385</v>
      </c>
      <c r="R215">
        <v>5482.42</v>
      </c>
      <c r="T215">
        <v>5482.42</v>
      </c>
      <c r="X215" t="s">
        <v>561</v>
      </c>
    </row>
    <row r="216" spans="1:26" x14ac:dyDescent="0.25">
      <c r="A216">
        <f t="shared" ca="1" si="16"/>
        <v>0</v>
      </c>
      <c r="C216">
        <f t="shared" ca="1" si="17"/>
        <v>0</v>
      </c>
      <c r="D216" t="s">
        <v>562</v>
      </c>
      <c r="E216" t="s">
        <v>445</v>
      </c>
      <c r="F216">
        <v>1396</v>
      </c>
      <c r="G216" t="s">
        <v>508</v>
      </c>
      <c r="H216" t="s">
        <v>563</v>
      </c>
      <c r="I216" t="s">
        <v>30</v>
      </c>
      <c r="J216" t="s">
        <v>562</v>
      </c>
      <c r="K216" t="s">
        <v>448</v>
      </c>
      <c r="L216" t="s">
        <v>564</v>
      </c>
      <c r="M216">
        <v>7500</v>
      </c>
      <c r="N216">
        <v>553</v>
      </c>
      <c r="O216">
        <v>5107622</v>
      </c>
      <c r="P216">
        <v>5832</v>
      </c>
      <c r="Q216" t="s">
        <v>302</v>
      </c>
      <c r="R216">
        <v>7462.89</v>
      </c>
      <c r="T216">
        <v>7462.89</v>
      </c>
    </row>
    <row r="217" spans="1:26" x14ac:dyDescent="0.25">
      <c r="A217">
        <f t="shared" ca="1" si="16"/>
        <v>0</v>
      </c>
      <c r="C217">
        <f t="shared" ca="1" si="17"/>
        <v>0</v>
      </c>
      <c r="D217" t="s">
        <v>88</v>
      </c>
      <c r="E217" t="s">
        <v>445</v>
      </c>
      <c r="F217">
        <v>1396</v>
      </c>
      <c r="G217" t="s">
        <v>508</v>
      </c>
      <c r="H217" t="s">
        <v>557</v>
      </c>
      <c r="I217" t="s">
        <v>30</v>
      </c>
      <c r="J217" t="s">
        <v>88</v>
      </c>
      <c r="K217" t="s">
        <v>448</v>
      </c>
      <c r="L217" t="s">
        <v>565</v>
      </c>
      <c r="M217">
        <v>13000</v>
      </c>
      <c r="N217">
        <v>554</v>
      </c>
      <c r="O217">
        <v>5107619</v>
      </c>
      <c r="P217">
        <v>5832</v>
      </c>
      <c r="Q217" t="s">
        <v>302</v>
      </c>
      <c r="R217">
        <v>12556.61</v>
      </c>
      <c r="T217">
        <v>12556.61</v>
      </c>
      <c r="X217" t="s">
        <v>530</v>
      </c>
    </row>
    <row r="218" spans="1:26" x14ac:dyDescent="0.25">
      <c r="A218">
        <f t="shared" ca="1" si="16"/>
        <v>0</v>
      </c>
      <c r="C218">
        <f t="shared" ca="1" si="17"/>
        <v>0</v>
      </c>
      <c r="D218" t="s">
        <v>48</v>
      </c>
      <c r="E218" t="s">
        <v>445</v>
      </c>
      <c r="F218">
        <v>1397</v>
      </c>
      <c r="G218" t="s">
        <v>508</v>
      </c>
      <c r="H218" t="s">
        <v>566</v>
      </c>
      <c r="I218" t="s">
        <v>30</v>
      </c>
      <c r="J218" t="s">
        <v>48</v>
      </c>
      <c r="K218" t="s">
        <v>448</v>
      </c>
      <c r="L218" t="s">
        <v>567</v>
      </c>
      <c r="M218">
        <v>2000</v>
      </c>
      <c r="N218">
        <v>555</v>
      </c>
      <c r="X218" t="s">
        <v>538</v>
      </c>
    </row>
    <row r="219" spans="1:26" x14ac:dyDescent="0.25">
      <c r="A219">
        <f t="shared" ca="1" si="16"/>
        <v>0</v>
      </c>
      <c r="C219">
        <f t="shared" ca="1" si="17"/>
        <v>0</v>
      </c>
      <c r="D219" t="s">
        <v>48</v>
      </c>
      <c r="E219" t="s">
        <v>445</v>
      </c>
      <c r="F219">
        <v>1429</v>
      </c>
      <c r="G219" t="s">
        <v>508</v>
      </c>
      <c r="H219" t="s">
        <v>568</v>
      </c>
      <c r="I219" t="s">
        <v>30</v>
      </c>
      <c r="J219" t="s">
        <v>48</v>
      </c>
      <c r="K219" t="s">
        <v>448</v>
      </c>
      <c r="L219" t="s">
        <v>569</v>
      </c>
      <c r="M219">
        <v>3000</v>
      </c>
      <c r="N219">
        <v>556</v>
      </c>
      <c r="X219" t="s">
        <v>570</v>
      </c>
    </row>
    <row r="220" spans="1:26" x14ac:dyDescent="0.25">
      <c r="A220">
        <f t="shared" ca="1" si="16"/>
        <v>0</v>
      </c>
      <c r="C220">
        <f t="shared" ca="1" si="17"/>
        <v>0</v>
      </c>
      <c r="D220" t="s">
        <v>562</v>
      </c>
      <c r="E220" t="s">
        <v>445</v>
      </c>
      <c r="F220">
        <v>1399</v>
      </c>
      <c r="G220" t="s">
        <v>446</v>
      </c>
      <c r="H220" t="s">
        <v>571</v>
      </c>
      <c r="I220" t="s">
        <v>30</v>
      </c>
      <c r="J220" t="s">
        <v>562</v>
      </c>
      <c r="K220" t="s">
        <v>448</v>
      </c>
      <c r="L220" t="s">
        <v>572</v>
      </c>
      <c r="M220">
        <v>2000</v>
      </c>
      <c r="N220">
        <v>557</v>
      </c>
      <c r="X220" t="s">
        <v>573</v>
      </c>
    </row>
    <row r="222" spans="1:26" x14ac:dyDescent="0.25">
      <c r="A222">
        <f ca="1">+ Cmde</f>
        <v>0</v>
      </c>
      <c r="C222">
        <f ca="1">+ Devis</f>
        <v>0</v>
      </c>
      <c r="D222" t="s">
        <v>48</v>
      </c>
      <c r="E222" t="s">
        <v>445</v>
      </c>
      <c r="F222">
        <v>1400</v>
      </c>
      <c r="G222" t="s">
        <v>446</v>
      </c>
      <c r="H222" t="s">
        <v>574</v>
      </c>
      <c r="I222" t="s">
        <v>30</v>
      </c>
      <c r="J222" t="s">
        <v>48</v>
      </c>
      <c r="K222" t="s">
        <v>448</v>
      </c>
      <c r="L222" t="s">
        <v>575</v>
      </c>
      <c r="M222">
        <v>11000</v>
      </c>
      <c r="N222">
        <v>558</v>
      </c>
      <c r="O222">
        <v>5122242</v>
      </c>
      <c r="P222">
        <v>8168</v>
      </c>
      <c r="Q222" t="s">
        <v>385</v>
      </c>
      <c r="R222">
        <v>5531.85</v>
      </c>
      <c r="T222">
        <v>5531.85</v>
      </c>
      <c r="X222" t="s">
        <v>576</v>
      </c>
    </row>
    <row r="224" spans="1:26" x14ac:dyDescent="0.25">
      <c r="A224">
        <f t="shared" ref="A224:A252" ca="1" si="18">+ Cmde</f>
        <v>0</v>
      </c>
      <c r="C224">
        <f t="shared" ref="C224:C252" ca="1" si="19">+ Devis</f>
        <v>0</v>
      </c>
      <c r="D224" t="s">
        <v>355</v>
      </c>
      <c r="E224" t="s">
        <v>445</v>
      </c>
      <c r="F224">
        <v>1400</v>
      </c>
      <c r="G224" t="s">
        <v>446</v>
      </c>
      <c r="H224" t="s">
        <v>555</v>
      </c>
      <c r="I224" t="s">
        <v>30</v>
      </c>
      <c r="J224" t="s">
        <v>355</v>
      </c>
      <c r="K224" t="s">
        <v>448</v>
      </c>
      <c r="L224" t="s">
        <v>577</v>
      </c>
      <c r="M224">
        <v>3500</v>
      </c>
      <c r="N224">
        <v>559</v>
      </c>
      <c r="O224">
        <v>5027278</v>
      </c>
      <c r="P224">
        <v>8168</v>
      </c>
      <c r="Q224" t="s">
        <v>385</v>
      </c>
      <c r="R224">
        <v>3263.13</v>
      </c>
      <c r="S224">
        <v>3263.13</v>
      </c>
      <c r="T224">
        <v>0</v>
      </c>
      <c r="U224" t="s">
        <v>34</v>
      </c>
    </row>
    <row r="225" spans="1:26" x14ac:dyDescent="0.25">
      <c r="A225">
        <f t="shared" ca="1" si="18"/>
        <v>0</v>
      </c>
      <c r="C225">
        <f t="shared" ca="1" si="19"/>
        <v>0</v>
      </c>
      <c r="D225" t="s">
        <v>35</v>
      </c>
      <c r="E225" t="s">
        <v>237</v>
      </c>
      <c r="F225">
        <v>67</v>
      </c>
      <c r="G225" t="s">
        <v>258</v>
      </c>
      <c r="H225" t="s">
        <v>578</v>
      </c>
      <c r="I225" t="s">
        <v>30</v>
      </c>
      <c r="J225" t="s">
        <v>35</v>
      </c>
      <c r="K225" t="s">
        <v>240</v>
      </c>
      <c r="L225" t="s">
        <v>579</v>
      </c>
      <c r="M225">
        <v>10000</v>
      </c>
      <c r="N225">
        <v>74</v>
      </c>
      <c r="O225">
        <v>5021112</v>
      </c>
      <c r="P225">
        <v>2391</v>
      </c>
      <c r="Q225" t="s">
        <v>314</v>
      </c>
      <c r="R225">
        <v>2712.11</v>
      </c>
      <c r="S225">
        <v>2712.11</v>
      </c>
      <c r="T225">
        <v>0</v>
      </c>
      <c r="U225" t="s">
        <v>34</v>
      </c>
    </row>
    <row r="226" spans="1:26" x14ac:dyDescent="0.25">
      <c r="A226">
        <f t="shared" ca="1" si="18"/>
        <v>0</v>
      </c>
      <c r="C226">
        <f t="shared" ca="1" si="19"/>
        <v>0</v>
      </c>
      <c r="D226" t="s">
        <v>236</v>
      </c>
      <c r="E226" t="s">
        <v>237</v>
      </c>
      <c r="F226">
        <v>101</v>
      </c>
      <c r="G226" t="s">
        <v>580</v>
      </c>
      <c r="H226" t="s">
        <v>581</v>
      </c>
      <c r="I226" t="s">
        <v>44</v>
      </c>
      <c r="J226" t="s">
        <v>236</v>
      </c>
      <c r="K226" t="s">
        <v>240</v>
      </c>
      <c r="L226" t="s">
        <v>582</v>
      </c>
      <c r="O226">
        <v>5021134</v>
      </c>
      <c r="P226">
        <v>8306</v>
      </c>
      <c r="Q226" t="s">
        <v>583</v>
      </c>
      <c r="R226">
        <v>1817.2</v>
      </c>
      <c r="S226">
        <v>1817.2</v>
      </c>
      <c r="T226">
        <v>0</v>
      </c>
      <c r="U226" t="s">
        <v>34</v>
      </c>
    </row>
    <row r="227" spans="1:26" x14ac:dyDescent="0.25">
      <c r="A227">
        <f t="shared" ca="1" si="18"/>
        <v>0</v>
      </c>
      <c r="C227">
        <f t="shared" ca="1" si="19"/>
        <v>0</v>
      </c>
      <c r="D227" t="s">
        <v>196</v>
      </c>
      <c r="E227" t="s">
        <v>237</v>
      </c>
      <c r="F227">
        <v>399</v>
      </c>
      <c r="G227" t="s">
        <v>584</v>
      </c>
      <c r="H227" t="s">
        <v>585</v>
      </c>
      <c r="I227" t="s">
        <v>187</v>
      </c>
      <c r="J227" t="s">
        <v>196</v>
      </c>
      <c r="K227" t="s">
        <v>240</v>
      </c>
      <c r="L227" t="s">
        <v>586</v>
      </c>
      <c r="M227">
        <v>4000</v>
      </c>
      <c r="N227">
        <v>23</v>
      </c>
      <c r="O227">
        <v>5021391</v>
      </c>
      <c r="P227">
        <v>6985</v>
      </c>
      <c r="Q227" t="s">
        <v>587</v>
      </c>
      <c r="R227">
        <v>3561.42</v>
      </c>
      <c r="S227">
        <v>3561.42</v>
      </c>
      <c r="T227">
        <v>0</v>
      </c>
      <c r="U227" t="s">
        <v>34</v>
      </c>
    </row>
    <row r="228" spans="1:26" x14ac:dyDescent="0.25">
      <c r="A228">
        <f t="shared" ca="1" si="18"/>
        <v>0</v>
      </c>
      <c r="C228">
        <f t="shared" ca="1" si="19"/>
        <v>0</v>
      </c>
      <c r="D228" t="s">
        <v>35</v>
      </c>
      <c r="E228" t="s">
        <v>64</v>
      </c>
      <c r="F228">
        <v>103</v>
      </c>
      <c r="G228" t="s">
        <v>588</v>
      </c>
      <c r="H228" t="s">
        <v>589</v>
      </c>
      <c r="I228" t="s">
        <v>30</v>
      </c>
      <c r="J228" t="s">
        <v>35</v>
      </c>
      <c r="K228" t="s">
        <v>67</v>
      </c>
      <c r="L228" t="s">
        <v>590</v>
      </c>
      <c r="M228">
        <v>8000</v>
      </c>
      <c r="N228">
        <v>165</v>
      </c>
      <c r="O228">
        <v>5021426</v>
      </c>
      <c r="P228">
        <v>3718</v>
      </c>
      <c r="Q228" t="s">
        <v>113</v>
      </c>
      <c r="R228">
        <v>4799.0600000000004</v>
      </c>
      <c r="S228">
        <v>4799.0600000000004</v>
      </c>
      <c r="T228">
        <v>0</v>
      </c>
      <c r="U228" t="s">
        <v>34</v>
      </c>
      <c r="V228" s="1">
        <v>46047</v>
      </c>
      <c r="W228" s="1">
        <v>46072</v>
      </c>
    </row>
    <row r="229" spans="1:26" x14ac:dyDescent="0.25">
      <c r="A229">
        <f t="shared" ca="1" si="18"/>
        <v>0</v>
      </c>
      <c r="C229">
        <f t="shared" ca="1" si="19"/>
        <v>0</v>
      </c>
      <c r="D229" t="s">
        <v>48</v>
      </c>
      <c r="E229" t="s">
        <v>58</v>
      </c>
      <c r="F229">
        <v>1163</v>
      </c>
      <c r="G229" t="s">
        <v>59</v>
      </c>
      <c r="H229" t="s">
        <v>591</v>
      </c>
      <c r="I229" t="s">
        <v>30</v>
      </c>
      <c r="J229" t="s">
        <v>48</v>
      </c>
      <c r="K229" t="s">
        <v>61</v>
      </c>
      <c r="L229" t="s">
        <v>592</v>
      </c>
      <c r="O229">
        <v>5112940</v>
      </c>
      <c r="P229">
        <v>81</v>
      </c>
      <c r="Q229" t="s">
        <v>102</v>
      </c>
      <c r="R229">
        <v>1864.69</v>
      </c>
      <c r="T229">
        <v>1864.69</v>
      </c>
      <c r="X229" t="s">
        <v>593</v>
      </c>
    </row>
    <row r="230" spans="1:26" x14ac:dyDescent="0.25">
      <c r="A230">
        <f t="shared" ca="1" si="18"/>
        <v>0</v>
      </c>
      <c r="C230">
        <f t="shared" ca="1" si="19"/>
        <v>0</v>
      </c>
      <c r="D230" t="s">
        <v>35</v>
      </c>
      <c r="E230" t="s">
        <v>245</v>
      </c>
      <c r="F230">
        <v>2141</v>
      </c>
      <c r="G230" t="s">
        <v>246</v>
      </c>
      <c r="H230" t="s">
        <v>594</v>
      </c>
      <c r="I230" t="s">
        <v>30</v>
      </c>
      <c r="J230" t="s">
        <v>35</v>
      </c>
      <c r="K230" t="s">
        <v>188</v>
      </c>
      <c r="L230" t="s">
        <v>595</v>
      </c>
      <c r="P230">
        <v>6609</v>
      </c>
      <c r="Q230" t="s">
        <v>596</v>
      </c>
      <c r="R230">
        <v>3541.5</v>
      </c>
      <c r="S230">
        <v>3541.5</v>
      </c>
      <c r="T230">
        <v>0</v>
      </c>
      <c r="U230" t="s">
        <v>34</v>
      </c>
    </row>
    <row r="231" spans="1:26" x14ac:dyDescent="0.25">
      <c r="A231">
        <f t="shared" ca="1" si="18"/>
        <v>0</v>
      </c>
      <c r="C231">
        <f t="shared" ca="1" si="19"/>
        <v>0</v>
      </c>
      <c r="D231" t="s">
        <v>562</v>
      </c>
      <c r="E231" t="s">
        <v>445</v>
      </c>
      <c r="F231">
        <v>1950</v>
      </c>
      <c r="G231" t="s">
        <v>446</v>
      </c>
      <c r="H231" t="s">
        <v>597</v>
      </c>
      <c r="I231" t="s">
        <v>30</v>
      </c>
      <c r="J231" t="s">
        <v>562</v>
      </c>
      <c r="K231" t="s">
        <v>448</v>
      </c>
      <c r="L231" t="s">
        <v>598</v>
      </c>
      <c r="O231">
        <v>5071205</v>
      </c>
      <c r="P231">
        <v>24023</v>
      </c>
      <c r="Q231" t="s">
        <v>599</v>
      </c>
      <c r="R231">
        <v>638.47</v>
      </c>
      <c r="S231">
        <v>638.47</v>
      </c>
      <c r="T231">
        <v>0</v>
      </c>
      <c r="U231" t="s">
        <v>34</v>
      </c>
    </row>
    <row r="232" spans="1:26" x14ac:dyDescent="0.25">
      <c r="A232">
        <f t="shared" ca="1" si="18"/>
        <v>0</v>
      </c>
      <c r="C232">
        <f t="shared" ca="1" si="19"/>
        <v>0</v>
      </c>
      <c r="D232" t="s">
        <v>57</v>
      </c>
      <c r="E232" t="s">
        <v>58</v>
      </c>
      <c r="F232">
        <v>632</v>
      </c>
      <c r="G232" t="s">
        <v>213</v>
      </c>
      <c r="H232" t="s">
        <v>600</v>
      </c>
      <c r="I232" t="s">
        <v>44</v>
      </c>
      <c r="J232" t="s">
        <v>57</v>
      </c>
      <c r="K232" t="s">
        <v>61</v>
      </c>
      <c r="L232" t="s">
        <v>601</v>
      </c>
      <c r="M232">
        <v>10000</v>
      </c>
      <c r="N232">
        <v>209</v>
      </c>
      <c r="O232">
        <v>5112964</v>
      </c>
      <c r="P232">
        <v>4921</v>
      </c>
      <c r="Q232" t="s">
        <v>94</v>
      </c>
      <c r="R232">
        <v>2858.77</v>
      </c>
      <c r="T232">
        <v>2858.77</v>
      </c>
      <c r="X232" t="s">
        <v>593</v>
      </c>
    </row>
    <row r="233" spans="1:26" x14ac:dyDescent="0.25">
      <c r="A233">
        <f t="shared" ca="1" si="18"/>
        <v>0</v>
      </c>
      <c r="C233">
        <f t="shared" ca="1" si="19"/>
        <v>0</v>
      </c>
      <c r="D233" t="s">
        <v>41</v>
      </c>
      <c r="E233" t="s">
        <v>58</v>
      </c>
      <c r="F233">
        <v>1105</v>
      </c>
      <c r="G233" t="s">
        <v>602</v>
      </c>
      <c r="H233" t="s">
        <v>603</v>
      </c>
      <c r="I233" t="s">
        <v>44</v>
      </c>
      <c r="J233" t="s">
        <v>41</v>
      </c>
      <c r="K233" t="s">
        <v>61</v>
      </c>
      <c r="L233" t="s">
        <v>604</v>
      </c>
      <c r="M233">
        <v>6000</v>
      </c>
      <c r="N233">
        <v>214</v>
      </c>
      <c r="O233">
        <v>5113006</v>
      </c>
      <c r="P233">
        <v>4921</v>
      </c>
      <c r="Q233" t="s">
        <v>94</v>
      </c>
      <c r="R233">
        <v>8013.49</v>
      </c>
      <c r="T233">
        <v>8013.49</v>
      </c>
      <c r="X233" t="s">
        <v>593</v>
      </c>
    </row>
    <row r="234" spans="1:26" x14ac:dyDescent="0.25">
      <c r="A234">
        <f t="shared" ca="1" si="18"/>
        <v>0</v>
      </c>
      <c r="C234">
        <f t="shared" ca="1" si="19"/>
        <v>0</v>
      </c>
      <c r="D234" t="s">
        <v>57</v>
      </c>
      <c r="E234" t="s">
        <v>64</v>
      </c>
      <c r="F234">
        <v>141</v>
      </c>
      <c r="G234" t="s">
        <v>605</v>
      </c>
      <c r="H234" t="s">
        <v>606</v>
      </c>
      <c r="I234" t="s">
        <v>44</v>
      </c>
      <c r="J234" t="s">
        <v>57</v>
      </c>
      <c r="K234" t="s">
        <v>67</v>
      </c>
      <c r="L234" t="s">
        <v>607</v>
      </c>
      <c r="M234">
        <v>15000</v>
      </c>
      <c r="N234">
        <v>112</v>
      </c>
      <c r="R234">
        <v>672</v>
      </c>
      <c r="S234">
        <v>672</v>
      </c>
      <c r="T234">
        <v>0</v>
      </c>
    </row>
    <row r="235" spans="1:26" x14ac:dyDescent="0.25">
      <c r="A235">
        <f t="shared" ca="1" si="18"/>
        <v>0</v>
      </c>
      <c r="C235">
        <f t="shared" ca="1" si="19"/>
        <v>0</v>
      </c>
      <c r="D235" t="s">
        <v>26</v>
      </c>
      <c r="E235" t="s">
        <v>64</v>
      </c>
      <c r="F235">
        <v>346</v>
      </c>
      <c r="G235" t="s">
        <v>65</v>
      </c>
      <c r="H235" t="s">
        <v>608</v>
      </c>
      <c r="I235" t="s">
        <v>30</v>
      </c>
      <c r="J235" t="s">
        <v>26</v>
      </c>
      <c r="K235" t="s">
        <v>67</v>
      </c>
      <c r="L235" t="s">
        <v>609</v>
      </c>
      <c r="M235">
        <v>10000</v>
      </c>
      <c r="N235">
        <v>152</v>
      </c>
      <c r="O235">
        <v>5115998</v>
      </c>
      <c r="P235">
        <v>81</v>
      </c>
      <c r="Q235" t="s">
        <v>102</v>
      </c>
      <c r="R235">
        <v>1092.6300000000001</v>
      </c>
      <c r="T235">
        <v>1092.6300000000001</v>
      </c>
    </row>
    <row r="236" spans="1:26" x14ac:dyDescent="0.25">
      <c r="A236">
        <f t="shared" ca="1" si="18"/>
        <v>0</v>
      </c>
      <c r="C236">
        <f t="shared" ca="1" si="19"/>
        <v>0</v>
      </c>
      <c r="D236" t="s">
        <v>196</v>
      </c>
      <c r="E236" t="s">
        <v>58</v>
      </c>
      <c r="F236">
        <v>1312</v>
      </c>
      <c r="G236" t="s">
        <v>213</v>
      </c>
      <c r="H236" t="s">
        <v>610</v>
      </c>
      <c r="I236" t="s">
        <v>187</v>
      </c>
      <c r="J236" t="s">
        <v>196</v>
      </c>
      <c r="K236" t="s">
        <v>215</v>
      </c>
      <c r="L236" t="s">
        <v>611</v>
      </c>
      <c r="O236">
        <v>5125513</v>
      </c>
      <c r="P236">
        <v>8598</v>
      </c>
      <c r="Q236" t="s">
        <v>78</v>
      </c>
      <c r="R236">
        <v>1265</v>
      </c>
      <c r="T236">
        <v>1265</v>
      </c>
      <c r="U236" t="s">
        <v>107</v>
      </c>
      <c r="V236" s="1">
        <v>46300</v>
      </c>
      <c r="W236" s="1">
        <v>46310</v>
      </c>
      <c r="X236" t="s">
        <v>612</v>
      </c>
    </row>
    <row r="237" spans="1:26" x14ac:dyDescent="0.25">
      <c r="A237">
        <f t="shared" ca="1" si="18"/>
        <v>0</v>
      </c>
      <c r="C237">
        <f t="shared" ca="1" si="19"/>
        <v>0</v>
      </c>
      <c r="D237" t="s">
        <v>562</v>
      </c>
      <c r="E237" t="s">
        <v>64</v>
      </c>
      <c r="F237">
        <v>121</v>
      </c>
      <c r="G237" t="s">
        <v>311</v>
      </c>
      <c r="H237" t="s">
        <v>613</v>
      </c>
      <c r="I237" t="s">
        <v>30</v>
      </c>
      <c r="J237" t="s">
        <v>562</v>
      </c>
      <c r="K237" t="s">
        <v>67</v>
      </c>
      <c r="L237" t="s">
        <v>614</v>
      </c>
      <c r="M237">
        <v>35000</v>
      </c>
      <c r="N237">
        <v>141</v>
      </c>
      <c r="O237">
        <v>5041744</v>
      </c>
      <c r="P237">
        <v>2391</v>
      </c>
      <c r="Q237" t="s">
        <v>314</v>
      </c>
      <c r="R237">
        <v>2249.7600000000002</v>
      </c>
      <c r="S237">
        <v>2249.7600000000002</v>
      </c>
      <c r="T237">
        <v>0</v>
      </c>
      <c r="U237" t="s">
        <v>34</v>
      </c>
      <c r="V237" s="1">
        <v>46083</v>
      </c>
      <c r="W237" s="1">
        <v>46087</v>
      </c>
    </row>
    <row r="238" spans="1:26" x14ac:dyDescent="0.25">
      <c r="A238">
        <f t="shared" ca="1" si="18"/>
        <v>0</v>
      </c>
      <c r="C238">
        <f t="shared" ca="1" si="19"/>
        <v>0</v>
      </c>
      <c r="D238" t="s">
        <v>203</v>
      </c>
      <c r="E238" t="s">
        <v>58</v>
      </c>
      <c r="F238">
        <v>133</v>
      </c>
      <c r="G238" t="s">
        <v>426</v>
      </c>
      <c r="H238" t="s">
        <v>436</v>
      </c>
      <c r="I238" t="s">
        <v>44</v>
      </c>
      <c r="J238" t="s">
        <v>203</v>
      </c>
      <c r="K238" t="s">
        <v>215</v>
      </c>
      <c r="L238" t="s">
        <v>615</v>
      </c>
      <c r="M238">
        <v>37000</v>
      </c>
      <c r="N238">
        <v>194</v>
      </c>
      <c r="O238">
        <v>5094243</v>
      </c>
      <c r="P238">
        <v>2219</v>
      </c>
      <c r="Q238" t="s">
        <v>616</v>
      </c>
      <c r="R238">
        <v>37821.17</v>
      </c>
      <c r="T238">
        <v>37821.17</v>
      </c>
      <c r="X238" t="s">
        <v>617</v>
      </c>
      <c r="Y238" t="s">
        <v>47</v>
      </c>
      <c r="Z238" s="1">
        <v>46268</v>
      </c>
    </row>
    <row r="239" spans="1:26" x14ac:dyDescent="0.25">
      <c r="A239">
        <f t="shared" ca="1" si="18"/>
        <v>0</v>
      </c>
      <c r="C239">
        <f t="shared" ca="1" si="19"/>
        <v>0</v>
      </c>
      <c r="D239" t="s">
        <v>35</v>
      </c>
      <c r="E239" t="s">
        <v>237</v>
      </c>
      <c r="F239">
        <v>69</v>
      </c>
      <c r="G239" t="s">
        <v>618</v>
      </c>
      <c r="H239" t="s">
        <v>619</v>
      </c>
      <c r="I239" t="s">
        <v>30</v>
      </c>
      <c r="J239" t="s">
        <v>35</v>
      </c>
      <c r="K239" t="s">
        <v>240</v>
      </c>
      <c r="L239" t="s">
        <v>620</v>
      </c>
      <c r="O239">
        <v>5009032</v>
      </c>
      <c r="P239">
        <v>911</v>
      </c>
      <c r="Q239" t="s">
        <v>621</v>
      </c>
      <c r="R239">
        <v>3274.38</v>
      </c>
      <c r="S239">
        <v>3274.38</v>
      </c>
      <c r="T239">
        <v>0</v>
      </c>
      <c r="U239" t="s">
        <v>34</v>
      </c>
    </row>
    <row r="240" spans="1:26" x14ac:dyDescent="0.25">
      <c r="A240">
        <f t="shared" ca="1" si="18"/>
        <v>0</v>
      </c>
      <c r="C240">
        <f t="shared" ca="1" si="19"/>
        <v>0</v>
      </c>
      <c r="D240" t="s">
        <v>74</v>
      </c>
      <c r="E240" t="s">
        <v>58</v>
      </c>
      <c r="F240">
        <v>835</v>
      </c>
      <c r="G240" t="s">
        <v>224</v>
      </c>
      <c r="H240" t="s">
        <v>622</v>
      </c>
      <c r="I240" t="s">
        <v>30</v>
      </c>
      <c r="J240" t="s">
        <v>74</v>
      </c>
      <c r="K240" t="s">
        <v>61</v>
      </c>
      <c r="L240" t="s">
        <v>623</v>
      </c>
      <c r="M240">
        <v>18000</v>
      </c>
      <c r="N240">
        <v>259</v>
      </c>
      <c r="O240">
        <v>5046691</v>
      </c>
      <c r="P240">
        <v>4921</v>
      </c>
      <c r="Q240" t="s">
        <v>94</v>
      </c>
      <c r="R240">
        <v>1643.53</v>
      </c>
      <c r="S240">
        <v>1643.53</v>
      </c>
      <c r="T240">
        <v>0</v>
      </c>
      <c r="U240" t="s">
        <v>34</v>
      </c>
      <c r="Y240" t="s">
        <v>104</v>
      </c>
      <c r="Z240" s="1">
        <v>46097</v>
      </c>
    </row>
    <row r="241" spans="1:24" x14ac:dyDescent="0.25">
      <c r="A241">
        <f t="shared" ca="1" si="18"/>
        <v>0</v>
      </c>
      <c r="C241">
        <f t="shared" ca="1" si="19"/>
        <v>0</v>
      </c>
      <c r="D241" t="s">
        <v>26</v>
      </c>
      <c r="E241" t="s">
        <v>297</v>
      </c>
      <c r="F241">
        <v>1350</v>
      </c>
      <c r="G241" t="s">
        <v>298</v>
      </c>
      <c r="H241" t="s">
        <v>624</v>
      </c>
      <c r="I241" t="s">
        <v>30</v>
      </c>
      <c r="J241" t="s">
        <v>26</v>
      </c>
      <c r="K241" t="s">
        <v>300</v>
      </c>
      <c r="L241" t="s">
        <v>625</v>
      </c>
      <c r="O241">
        <v>5074854</v>
      </c>
      <c r="P241">
        <v>7213</v>
      </c>
      <c r="Q241" t="s">
        <v>626</v>
      </c>
      <c r="R241">
        <v>1716.66</v>
      </c>
      <c r="T241">
        <v>1716.66</v>
      </c>
      <c r="U241" t="s">
        <v>40</v>
      </c>
      <c r="V241" s="1">
        <v>46175</v>
      </c>
      <c r="W241" s="1">
        <v>46177</v>
      </c>
    </row>
    <row r="242" spans="1:24" x14ac:dyDescent="0.25">
      <c r="A242">
        <f t="shared" ca="1" si="18"/>
        <v>0</v>
      </c>
      <c r="C242">
        <f t="shared" ca="1" si="19"/>
        <v>0</v>
      </c>
      <c r="D242" t="s">
        <v>183</v>
      </c>
      <c r="E242" t="s">
        <v>627</v>
      </c>
      <c r="F242">
        <v>1127</v>
      </c>
      <c r="G242" t="s">
        <v>628</v>
      </c>
      <c r="H242" t="s">
        <v>629</v>
      </c>
      <c r="I242" t="s">
        <v>187</v>
      </c>
      <c r="J242" t="s">
        <v>183</v>
      </c>
      <c r="K242" t="s">
        <v>188</v>
      </c>
      <c r="L242" t="s">
        <v>630</v>
      </c>
      <c r="O242">
        <v>5082218</v>
      </c>
      <c r="P242">
        <v>2002</v>
      </c>
      <c r="Q242" t="s">
        <v>631</v>
      </c>
      <c r="R242">
        <v>1815</v>
      </c>
      <c r="T242">
        <v>1815</v>
      </c>
    </row>
    <row r="243" spans="1:24" x14ac:dyDescent="0.25">
      <c r="A243">
        <f t="shared" ca="1" si="18"/>
        <v>0</v>
      </c>
      <c r="C243">
        <f t="shared" ca="1" si="19"/>
        <v>0</v>
      </c>
      <c r="D243" t="s">
        <v>35</v>
      </c>
      <c r="E243" t="s">
        <v>445</v>
      </c>
      <c r="F243">
        <v>1400</v>
      </c>
      <c r="G243" t="s">
        <v>446</v>
      </c>
      <c r="H243" t="s">
        <v>632</v>
      </c>
      <c r="I243" t="s">
        <v>30</v>
      </c>
      <c r="J243" t="s">
        <v>35</v>
      </c>
      <c r="K243" t="s">
        <v>448</v>
      </c>
      <c r="L243" t="s">
        <v>633</v>
      </c>
      <c r="M243">
        <v>1000</v>
      </c>
      <c r="N243">
        <v>560</v>
      </c>
      <c r="O243">
        <v>5070836</v>
      </c>
      <c r="P243">
        <v>24023</v>
      </c>
      <c r="Q243" t="s">
        <v>599</v>
      </c>
      <c r="R243">
        <v>246.4</v>
      </c>
      <c r="T243">
        <v>246.4</v>
      </c>
      <c r="X243" t="s">
        <v>538</v>
      </c>
    </row>
    <row r="244" spans="1:24" x14ac:dyDescent="0.25">
      <c r="A244">
        <f t="shared" ca="1" si="18"/>
        <v>0</v>
      </c>
      <c r="C244">
        <f t="shared" ca="1" si="19"/>
        <v>0</v>
      </c>
      <c r="D244" t="s">
        <v>48</v>
      </c>
      <c r="E244" t="s">
        <v>445</v>
      </c>
      <c r="F244">
        <v>1401</v>
      </c>
      <c r="G244" t="s">
        <v>446</v>
      </c>
      <c r="H244" t="s">
        <v>634</v>
      </c>
      <c r="I244" t="s">
        <v>30</v>
      </c>
      <c r="J244" t="s">
        <v>48</v>
      </c>
      <c r="K244" t="s">
        <v>448</v>
      </c>
      <c r="L244" t="s">
        <v>575</v>
      </c>
      <c r="M244">
        <v>10000</v>
      </c>
      <c r="N244">
        <v>561</v>
      </c>
      <c r="O244">
        <v>5120596</v>
      </c>
      <c r="P244">
        <v>8168</v>
      </c>
      <c r="Q244" t="s">
        <v>385</v>
      </c>
      <c r="R244">
        <v>6156.7</v>
      </c>
      <c r="T244">
        <v>6156.7</v>
      </c>
    </row>
    <row r="245" spans="1:24" x14ac:dyDescent="0.25">
      <c r="A245">
        <f t="shared" ca="1" si="18"/>
        <v>0</v>
      </c>
      <c r="C245">
        <f t="shared" ca="1" si="19"/>
        <v>0</v>
      </c>
      <c r="D245" t="s">
        <v>35</v>
      </c>
      <c r="E245" t="s">
        <v>445</v>
      </c>
      <c r="F245">
        <v>1401</v>
      </c>
      <c r="G245" t="s">
        <v>446</v>
      </c>
      <c r="H245" t="s">
        <v>634</v>
      </c>
      <c r="I245" t="s">
        <v>30</v>
      </c>
      <c r="J245" t="s">
        <v>35</v>
      </c>
      <c r="K245" t="s">
        <v>448</v>
      </c>
      <c r="L245" t="s">
        <v>635</v>
      </c>
      <c r="M245">
        <v>2000</v>
      </c>
      <c r="N245">
        <v>562</v>
      </c>
      <c r="O245">
        <v>5050048</v>
      </c>
      <c r="P245">
        <v>1</v>
      </c>
      <c r="Q245" t="s">
        <v>636</v>
      </c>
      <c r="R245">
        <v>2134</v>
      </c>
      <c r="S245">
        <v>2134</v>
      </c>
      <c r="T245">
        <v>0</v>
      </c>
      <c r="U245" t="s">
        <v>34</v>
      </c>
    </row>
    <row r="246" spans="1:24" x14ac:dyDescent="0.25">
      <c r="A246">
        <f t="shared" ca="1" si="18"/>
        <v>0</v>
      </c>
      <c r="C246">
        <f t="shared" ca="1" si="19"/>
        <v>0</v>
      </c>
      <c r="D246" t="s">
        <v>48</v>
      </c>
      <c r="E246" t="s">
        <v>445</v>
      </c>
      <c r="F246">
        <v>1430</v>
      </c>
      <c r="G246" t="s">
        <v>508</v>
      </c>
      <c r="H246" t="s">
        <v>637</v>
      </c>
      <c r="I246" t="s">
        <v>30</v>
      </c>
      <c r="J246" t="s">
        <v>48</v>
      </c>
      <c r="K246" t="s">
        <v>448</v>
      </c>
      <c r="L246" t="s">
        <v>638</v>
      </c>
      <c r="M246">
        <v>3000</v>
      </c>
      <c r="N246">
        <v>563</v>
      </c>
      <c r="X246" t="s">
        <v>570</v>
      </c>
    </row>
    <row r="247" spans="1:24" x14ac:dyDescent="0.25">
      <c r="A247">
        <f t="shared" ca="1" si="18"/>
        <v>0</v>
      </c>
      <c r="C247">
        <f t="shared" ca="1" si="19"/>
        <v>0</v>
      </c>
      <c r="D247" t="s">
        <v>355</v>
      </c>
      <c r="E247" t="s">
        <v>445</v>
      </c>
      <c r="F247">
        <v>1799</v>
      </c>
      <c r="G247" t="s">
        <v>521</v>
      </c>
      <c r="H247" t="s">
        <v>639</v>
      </c>
      <c r="I247" t="s">
        <v>30</v>
      </c>
      <c r="J247" t="s">
        <v>355</v>
      </c>
      <c r="K247" t="s">
        <v>448</v>
      </c>
      <c r="L247" t="s">
        <v>640</v>
      </c>
      <c r="M247">
        <v>1500</v>
      </c>
      <c r="N247">
        <v>564</v>
      </c>
      <c r="O247">
        <v>5027280</v>
      </c>
      <c r="P247">
        <v>8168</v>
      </c>
      <c r="Q247" t="s">
        <v>385</v>
      </c>
      <c r="R247">
        <v>1412.9</v>
      </c>
      <c r="S247">
        <v>1412.9</v>
      </c>
      <c r="T247">
        <v>0</v>
      </c>
      <c r="U247" t="s">
        <v>34</v>
      </c>
    </row>
    <row r="248" spans="1:24" x14ac:dyDescent="0.25">
      <c r="A248">
        <f t="shared" ca="1" si="18"/>
        <v>0</v>
      </c>
      <c r="C248">
        <f t="shared" ca="1" si="19"/>
        <v>0</v>
      </c>
      <c r="D248" t="s">
        <v>88</v>
      </c>
      <c r="E248" t="s">
        <v>445</v>
      </c>
      <c r="F248">
        <v>1850</v>
      </c>
      <c r="G248" t="s">
        <v>446</v>
      </c>
      <c r="H248" t="s">
        <v>641</v>
      </c>
      <c r="I248" t="s">
        <v>30</v>
      </c>
      <c r="J248" t="s">
        <v>88</v>
      </c>
      <c r="K248" t="s">
        <v>448</v>
      </c>
      <c r="L248" t="s">
        <v>642</v>
      </c>
      <c r="M248">
        <v>5000</v>
      </c>
      <c r="N248">
        <v>565</v>
      </c>
      <c r="O248">
        <v>5076587</v>
      </c>
      <c r="P248">
        <v>5832</v>
      </c>
      <c r="Q248" t="s">
        <v>302</v>
      </c>
      <c r="R248">
        <v>5283.3</v>
      </c>
      <c r="S248">
        <v>5283.3</v>
      </c>
      <c r="T248">
        <v>0</v>
      </c>
      <c r="U248" t="s">
        <v>34</v>
      </c>
    </row>
    <row r="249" spans="1:24" x14ac:dyDescent="0.25">
      <c r="A249">
        <f t="shared" ca="1" si="18"/>
        <v>0</v>
      </c>
      <c r="C249">
        <f t="shared" ca="1" si="19"/>
        <v>0</v>
      </c>
      <c r="D249" t="s">
        <v>355</v>
      </c>
      <c r="E249" t="s">
        <v>445</v>
      </c>
      <c r="F249">
        <v>2032</v>
      </c>
      <c r="G249" t="s">
        <v>521</v>
      </c>
      <c r="H249" t="s">
        <v>643</v>
      </c>
      <c r="I249" t="s">
        <v>30</v>
      </c>
      <c r="J249" t="s">
        <v>355</v>
      </c>
      <c r="K249" t="s">
        <v>448</v>
      </c>
      <c r="L249" t="s">
        <v>644</v>
      </c>
      <c r="M249">
        <v>2500</v>
      </c>
      <c r="N249">
        <v>569</v>
      </c>
      <c r="O249">
        <v>5027287</v>
      </c>
      <c r="P249">
        <v>8168</v>
      </c>
      <c r="Q249" t="s">
        <v>385</v>
      </c>
      <c r="R249">
        <v>2487.77</v>
      </c>
      <c r="S249">
        <v>2487.77</v>
      </c>
      <c r="T249">
        <v>0</v>
      </c>
      <c r="U249" t="s">
        <v>34</v>
      </c>
    </row>
    <row r="250" spans="1:24" x14ac:dyDescent="0.25">
      <c r="A250">
        <f t="shared" ca="1" si="18"/>
        <v>0</v>
      </c>
      <c r="C250">
        <f t="shared" ca="1" si="19"/>
        <v>0</v>
      </c>
      <c r="D250" t="s">
        <v>35</v>
      </c>
      <c r="E250" t="s">
        <v>445</v>
      </c>
      <c r="F250">
        <v>2032</v>
      </c>
      <c r="G250" t="s">
        <v>521</v>
      </c>
      <c r="H250" t="s">
        <v>645</v>
      </c>
      <c r="I250" t="s">
        <v>30</v>
      </c>
      <c r="J250" t="s">
        <v>35</v>
      </c>
      <c r="K250" t="s">
        <v>448</v>
      </c>
      <c r="L250" t="s">
        <v>646</v>
      </c>
      <c r="M250">
        <v>4000</v>
      </c>
      <c r="N250">
        <v>570</v>
      </c>
      <c r="O250">
        <v>5048711</v>
      </c>
      <c r="P250">
        <v>1</v>
      </c>
      <c r="Q250" t="s">
        <v>636</v>
      </c>
      <c r="R250">
        <v>4103</v>
      </c>
      <c r="S250">
        <v>4103</v>
      </c>
      <c r="T250">
        <v>0</v>
      </c>
      <c r="U250" t="s">
        <v>34</v>
      </c>
    </row>
    <row r="251" spans="1:24" x14ac:dyDescent="0.25">
      <c r="A251">
        <f t="shared" ca="1" si="18"/>
        <v>0</v>
      </c>
      <c r="C251">
        <f t="shared" ca="1" si="19"/>
        <v>0</v>
      </c>
      <c r="D251" t="s">
        <v>355</v>
      </c>
      <c r="E251" t="s">
        <v>445</v>
      </c>
      <c r="F251">
        <v>2067</v>
      </c>
      <c r="G251" t="s">
        <v>521</v>
      </c>
      <c r="H251" t="s">
        <v>647</v>
      </c>
      <c r="I251" t="s">
        <v>30</v>
      </c>
      <c r="J251" t="s">
        <v>355</v>
      </c>
      <c r="K251" t="s">
        <v>448</v>
      </c>
      <c r="L251" t="s">
        <v>648</v>
      </c>
      <c r="M251">
        <v>2000</v>
      </c>
      <c r="N251">
        <v>571</v>
      </c>
      <c r="O251">
        <v>5027290</v>
      </c>
      <c r="P251">
        <v>8168</v>
      </c>
      <c r="Q251" t="s">
        <v>385</v>
      </c>
      <c r="R251">
        <v>1712.41</v>
      </c>
      <c r="S251">
        <v>1712.41</v>
      </c>
      <c r="T251">
        <v>0</v>
      </c>
      <c r="U251" t="s">
        <v>34</v>
      </c>
    </row>
    <row r="252" spans="1:24" x14ac:dyDescent="0.25">
      <c r="A252">
        <f t="shared" ca="1" si="18"/>
        <v>0</v>
      </c>
      <c r="C252">
        <f t="shared" ca="1" si="19"/>
        <v>0</v>
      </c>
      <c r="D252" t="s">
        <v>35</v>
      </c>
      <c r="E252" t="s">
        <v>445</v>
      </c>
      <c r="F252">
        <v>2072</v>
      </c>
      <c r="G252" t="s">
        <v>518</v>
      </c>
      <c r="H252" t="s">
        <v>519</v>
      </c>
      <c r="I252" t="s">
        <v>30</v>
      </c>
      <c r="J252" t="s">
        <v>35</v>
      </c>
      <c r="K252" t="s">
        <v>448</v>
      </c>
      <c r="L252" t="s">
        <v>649</v>
      </c>
      <c r="M252">
        <v>2000</v>
      </c>
      <c r="N252">
        <v>573</v>
      </c>
      <c r="X252" t="s">
        <v>650</v>
      </c>
    </row>
    <row r="254" spans="1:24" x14ac:dyDescent="0.25">
      <c r="A254">
        <f ca="1">+ Cmde</f>
        <v>0</v>
      </c>
      <c r="C254">
        <f ca="1">+ Devis</f>
        <v>0</v>
      </c>
      <c r="D254" t="s">
        <v>35</v>
      </c>
      <c r="E254" t="s">
        <v>445</v>
      </c>
      <c r="F254">
        <v>2086</v>
      </c>
      <c r="G254" t="s">
        <v>446</v>
      </c>
      <c r="H254" t="s">
        <v>447</v>
      </c>
      <c r="I254" t="s">
        <v>30</v>
      </c>
      <c r="J254" t="s">
        <v>35</v>
      </c>
      <c r="K254" t="s">
        <v>448</v>
      </c>
      <c r="L254" t="s">
        <v>651</v>
      </c>
      <c r="M254">
        <v>1000</v>
      </c>
      <c r="N254">
        <v>574</v>
      </c>
    </row>
    <row r="255" spans="1:24" x14ac:dyDescent="0.25">
      <c r="A255">
        <f ca="1">+ Cmde</f>
        <v>0</v>
      </c>
      <c r="C255">
        <f ca="1">+ Devis</f>
        <v>0</v>
      </c>
      <c r="D255" t="s">
        <v>35</v>
      </c>
      <c r="E255" t="s">
        <v>445</v>
      </c>
      <c r="F255">
        <v>2120</v>
      </c>
      <c r="G255" t="s">
        <v>521</v>
      </c>
      <c r="H255" t="s">
        <v>522</v>
      </c>
      <c r="I255" t="s">
        <v>30</v>
      </c>
      <c r="J255" t="s">
        <v>35</v>
      </c>
      <c r="K255" t="s">
        <v>448</v>
      </c>
      <c r="L255" t="s">
        <v>652</v>
      </c>
      <c r="M255">
        <v>6000</v>
      </c>
      <c r="N255">
        <v>577</v>
      </c>
      <c r="O255">
        <v>5027233</v>
      </c>
      <c r="P255">
        <v>1</v>
      </c>
      <c r="Q255" t="s">
        <v>636</v>
      </c>
      <c r="R255">
        <v>5654</v>
      </c>
      <c r="S255">
        <v>5654</v>
      </c>
      <c r="T255">
        <v>0</v>
      </c>
      <c r="U255" t="s">
        <v>34</v>
      </c>
    </row>
    <row r="256" spans="1:24" x14ac:dyDescent="0.25">
      <c r="A256">
        <f ca="1">+ Cmde</f>
        <v>0</v>
      </c>
      <c r="C256">
        <f ca="1">+ Devis</f>
        <v>0</v>
      </c>
      <c r="D256" t="s">
        <v>35</v>
      </c>
      <c r="E256" t="s">
        <v>445</v>
      </c>
      <c r="F256">
        <v>2120</v>
      </c>
      <c r="G256" t="s">
        <v>521</v>
      </c>
      <c r="H256" t="s">
        <v>522</v>
      </c>
      <c r="I256" t="s">
        <v>30</v>
      </c>
      <c r="J256" t="s">
        <v>35</v>
      </c>
      <c r="K256" t="s">
        <v>448</v>
      </c>
      <c r="L256" t="s">
        <v>653</v>
      </c>
      <c r="M256">
        <v>2000</v>
      </c>
      <c r="N256">
        <v>578</v>
      </c>
      <c r="X256" t="s">
        <v>524</v>
      </c>
    </row>
    <row r="258" spans="1:26" x14ac:dyDescent="0.25">
      <c r="A258">
        <f ca="1">+ Cmde</f>
        <v>0</v>
      </c>
      <c r="C258">
        <f ca="1">+ Devis</f>
        <v>0</v>
      </c>
      <c r="D258" t="s">
        <v>355</v>
      </c>
      <c r="E258" t="s">
        <v>445</v>
      </c>
      <c r="F258">
        <v>2293</v>
      </c>
      <c r="G258" t="s">
        <v>508</v>
      </c>
      <c r="H258" t="s">
        <v>550</v>
      </c>
      <c r="I258" t="s">
        <v>30</v>
      </c>
      <c r="J258" t="s">
        <v>355</v>
      </c>
      <c r="K258" t="s">
        <v>448</v>
      </c>
      <c r="L258" t="s">
        <v>654</v>
      </c>
      <c r="M258">
        <v>1500</v>
      </c>
      <c r="N258">
        <v>579</v>
      </c>
      <c r="X258" t="s">
        <v>655</v>
      </c>
    </row>
    <row r="259" spans="1:26" x14ac:dyDescent="0.25">
      <c r="A259">
        <f ca="1">+ Cmde</f>
        <v>0</v>
      </c>
      <c r="C259">
        <f ca="1">+ Devis</f>
        <v>0</v>
      </c>
      <c r="D259" t="s">
        <v>26</v>
      </c>
      <c r="E259" t="s">
        <v>445</v>
      </c>
      <c r="F259">
        <v>2293</v>
      </c>
      <c r="G259" t="s">
        <v>508</v>
      </c>
      <c r="H259" t="s">
        <v>550</v>
      </c>
      <c r="I259" t="s">
        <v>30</v>
      </c>
      <c r="J259" t="s">
        <v>26</v>
      </c>
      <c r="K259" t="s">
        <v>448</v>
      </c>
      <c r="L259" t="s">
        <v>656</v>
      </c>
      <c r="M259">
        <v>2000</v>
      </c>
      <c r="N259">
        <v>580</v>
      </c>
      <c r="X259" t="s">
        <v>657</v>
      </c>
    </row>
    <row r="260" spans="1:26" x14ac:dyDescent="0.25">
      <c r="A260">
        <f ca="1">+ Cmde</f>
        <v>0</v>
      </c>
      <c r="C260">
        <f ca="1">+ Devis</f>
        <v>0</v>
      </c>
      <c r="D260" t="s">
        <v>48</v>
      </c>
      <c r="E260" t="s">
        <v>445</v>
      </c>
      <c r="F260">
        <v>2294</v>
      </c>
      <c r="G260" t="s">
        <v>508</v>
      </c>
      <c r="H260" t="s">
        <v>658</v>
      </c>
      <c r="I260" t="s">
        <v>30</v>
      </c>
      <c r="J260" t="s">
        <v>48</v>
      </c>
      <c r="K260" t="s">
        <v>448</v>
      </c>
      <c r="L260" t="s">
        <v>659</v>
      </c>
      <c r="M260">
        <v>3000</v>
      </c>
      <c r="N260">
        <v>581</v>
      </c>
      <c r="O260">
        <v>4929053</v>
      </c>
      <c r="P260">
        <v>5832</v>
      </c>
      <c r="Q260" t="s">
        <v>302</v>
      </c>
      <c r="R260">
        <v>2310</v>
      </c>
      <c r="S260">
        <v>2310</v>
      </c>
      <c r="T260">
        <v>0</v>
      </c>
      <c r="U260" t="s">
        <v>34</v>
      </c>
    </row>
    <row r="261" spans="1:26" x14ac:dyDescent="0.25">
      <c r="A261">
        <f ca="1">+ Cmde</f>
        <v>0</v>
      </c>
      <c r="C261">
        <f ca="1">+ Devis</f>
        <v>0</v>
      </c>
      <c r="D261" t="s">
        <v>355</v>
      </c>
      <c r="E261" t="s">
        <v>445</v>
      </c>
      <c r="F261">
        <v>2294</v>
      </c>
      <c r="G261" t="s">
        <v>508</v>
      </c>
      <c r="H261" t="s">
        <v>658</v>
      </c>
      <c r="I261" t="s">
        <v>30</v>
      </c>
      <c r="J261" t="s">
        <v>355</v>
      </c>
      <c r="K261" t="s">
        <v>448</v>
      </c>
      <c r="L261" t="s">
        <v>654</v>
      </c>
      <c r="M261">
        <v>7000</v>
      </c>
      <c r="N261">
        <v>582</v>
      </c>
      <c r="O261">
        <v>5113246</v>
      </c>
      <c r="P261">
        <v>25963</v>
      </c>
      <c r="Q261" t="s">
        <v>660</v>
      </c>
      <c r="R261">
        <v>6704.5</v>
      </c>
      <c r="T261">
        <v>6704.5</v>
      </c>
      <c r="X261" t="s">
        <v>532</v>
      </c>
    </row>
    <row r="263" spans="1:26" x14ac:dyDescent="0.25">
      <c r="A263">
        <f t="shared" ref="A263:A277" ca="1" si="20">+ Cmde</f>
        <v>0</v>
      </c>
      <c r="C263">
        <f t="shared" ref="C263:C277" ca="1" si="21">+ Devis</f>
        <v>0</v>
      </c>
      <c r="D263" t="s">
        <v>88</v>
      </c>
      <c r="E263" t="s">
        <v>445</v>
      </c>
      <c r="F263">
        <v>2365</v>
      </c>
      <c r="G263" t="s">
        <v>525</v>
      </c>
      <c r="H263" t="s">
        <v>526</v>
      </c>
      <c r="I263" t="s">
        <v>30</v>
      </c>
      <c r="J263" t="s">
        <v>88</v>
      </c>
      <c r="K263" t="s">
        <v>448</v>
      </c>
      <c r="L263" t="s">
        <v>661</v>
      </c>
      <c r="M263">
        <v>12000</v>
      </c>
      <c r="N263">
        <v>583</v>
      </c>
      <c r="O263">
        <v>5099441</v>
      </c>
      <c r="P263">
        <v>5832</v>
      </c>
      <c r="Q263" t="s">
        <v>302</v>
      </c>
      <c r="R263">
        <v>11844.2</v>
      </c>
      <c r="T263">
        <v>11844.2</v>
      </c>
    </row>
    <row r="264" spans="1:26" x14ac:dyDescent="0.25">
      <c r="A264">
        <f t="shared" ca="1" si="20"/>
        <v>0</v>
      </c>
      <c r="C264">
        <f t="shared" ca="1" si="21"/>
        <v>0</v>
      </c>
      <c r="D264" t="s">
        <v>355</v>
      </c>
      <c r="E264" t="s">
        <v>49</v>
      </c>
      <c r="F264">
        <v>1241</v>
      </c>
      <c r="G264" t="s">
        <v>231</v>
      </c>
      <c r="H264" t="s">
        <v>662</v>
      </c>
      <c r="I264" t="s">
        <v>187</v>
      </c>
      <c r="J264" t="s">
        <v>355</v>
      </c>
      <c r="K264" t="s">
        <v>326</v>
      </c>
      <c r="L264" t="s">
        <v>663</v>
      </c>
      <c r="M264">
        <v>2000</v>
      </c>
      <c r="N264">
        <v>584</v>
      </c>
      <c r="X264" t="s">
        <v>664</v>
      </c>
    </row>
    <row r="265" spans="1:26" x14ac:dyDescent="0.25">
      <c r="A265">
        <f t="shared" ca="1" si="20"/>
        <v>0</v>
      </c>
      <c r="C265">
        <f t="shared" ca="1" si="21"/>
        <v>0</v>
      </c>
      <c r="D265" t="s">
        <v>355</v>
      </c>
      <c r="E265" t="s">
        <v>49</v>
      </c>
      <c r="F265">
        <v>1241</v>
      </c>
      <c r="G265" t="s">
        <v>231</v>
      </c>
      <c r="H265" t="s">
        <v>662</v>
      </c>
      <c r="I265" t="s">
        <v>187</v>
      </c>
      <c r="J265" t="s">
        <v>355</v>
      </c>
      <c r="K265" t="s">
        <v>326</v>
      </c>
      <c r="L265" t="s">
        <v>665</v>
      </c>
      <c r="M265">
        <v>2000</v>
      </c>
      <c r="N265">
        <v>585</v>
      </c>
      <c r="O265">
        <v>5053956</v>
      </c>
      <c r="P265">
        <v>3501</v>
      </c>
      <c r="Q265" t="s">
        <v>666</v>
      </c>
      <c r="R265">
        <v>3060</v>
      </c>
      <c r="S265">
        <v>3060</v>
      </c>
      <c r="T265">
        <v>0</v>
      </c>
      <c r="U265" t="s">
        <v>34</v>
      </c>
      <c r="V265" s="1">
        <v>46111</v>
      </c>
      <c r="W265" s="1">
        <v>46115</v>
      </c>
      <c r="X265" t="s">
        <v>667</v>
      </c>
    </row>
    <row r="266" spans="1:26" x14ac:dyDescent="0.25">
      <c r="A266">
        <f t="shared" ca="1" si="20"/>
        <v>0</v>
      </c>
      <c r="C266">
        <f t="shared" ca="1" si="21"/>
        <v>0</v>
      </c>
      <c r="D266" t="s">
        <v>285</v>
      </c>
      <c r="E266" t="s">
        <v>49</v>
      </c>
      <c r="F266">
        <v>1620</v>
      </c>
      <c r="G266" t="s">
        <v>263</v>
      </c>
      <c r="H266" t="s">
        <v>668</v>
      </c>
      <c r="I266" t="s">
        <v>187</v>
      </c>
      <c r="J266" t="s">
        <v>285</v>
      </c>
      <c r="K266" t="s">
        <v>326</v>
      </c>
      <c r="L266" t="s">
        <v>669</v>
      </c>
      <c r="M266">
        <v>2000</v>
      </c>
      <c r="N266">
        <v>586</v>
      </c>
      <c r="O266">
        <v>5009739</v>
      </c>
      <c r="P266">
        <v>6455</v>
      </c>
      <c r="Q266" t="s">
        <v>39</v>
      </c>
      <c r="R266">
        <v>1545.17</v>
      </c>
      <c r="S266">
        <v>1545.17</v>
      </c>
      <c r="T266">
        <v>0</v>
      </c>
      <c r="U266" t="s">
        <v>34</v>
      </c>
      <c r="V266" s="1">
        <v>46027</v>
      </c>
      <c r="W266" s="1">
        <v>46066</v>
      </c>
    </row>
    <row r="267" spans="1:26" x14ac:dyDescent="0.25">
      <c r="A267">
        <f t="shared" ca="1" si="20"/>
        <v>0</v>
      </c>
      <c r="C267">
        <f t="shared" ca="1" si="21"/>
        <v>0</v>
      </c>
      <c r="D267" t="s">
        <v>285</v>
      </c>
      <c r="E267" t="s">
        <v>49</v>
      </c>
      <c r="F267">
        <v>1771</v>
      </c>
      <c r="G267" t="s">
        <v>670</v>
      </c>
      <c r="H267" t="s">
        <v>671</v>
      </c>
      <c r="I267" t="s">
        <v>187</v>
      </c>
      <c r="J267" t="s">
        <v>285</v>
      </c>
      <c r="K267" t="s">
        <v>326</v>
      </c>
      <c r="L267" t="s">
        <v>672</v>
      </c>
      <c r="M267">
        <v>2500</v>
      </c>
      <c r="N267">
        <v>587</v>
      </c>
      <c r="O267">
        <v>5072783</v>
      </c>
      <c r="P267">
        <v>3501</v>
      </c>
      <c r="Q267" t="s">
        <v>666</v>
      </c>
      <c r="R267">
        <v>1740</v>
      </c>
      <c r="S267">
        <v>1740</v>
      </c>
      <c r="T267">
        <v>0</v>
      </c>
      <c r="U267" t="s">
        <v>34</v>
      </c>
      <c r="V267" s="1">
        <v>46181</v>
      </c>
      <c r="W267" s="1">
        <v>46234</v>
      </c>
    </row>
    <row r="268" spans="1:26" x14ac:dyDescent="0.25">
      <c r="A268">
        <f t="shared" ca="1" si="20"/>
        <v>0</v>
      </c>
      <c r="C268">
        <f t="shared" ca="1" si="21"/>
        <v>0</v>
      </c>
      <c r="D268" t="s">
        <v>285</v>
      </c>
      <c r="E268" t="s">
        <v>49</v>
      </c>
      <c r="F268">
        <v>1504</v>
      </c>
      <c r="G268" t="s">
        <v>231</v>
      </c>
      <c r="H268" t="s">
        <v>673</v>
      </c>
      <c r="I268" t="s">
        <v>187</v>
      </c>
      <c r="J268" t="s">
        <v>285</v>
      </c>
      <c r="K268" t="s">
        <v>326</v>
      </c>
      <c r="L268" t="s">
        <v>674</v>
      </c>
      <c r="M268">
        <v>3000</v>
      </c>
      <c r="N268">
        <v>588</v>
      </c>
      <c r="O268">
        <v>5035120</v>
      </c>
      <c r="P268">
        <v>7508</v>
      </c>
      <c r="Q268" t="s">
        <v>675</v>
      </c>
      <c r="R268">
        <v>2591.7399999999998</v>
      </c>
      <c r="S268">
        <v>2591.7399999999998</v>
      </c>
      <c r="T268">
        <v>0</v>
      </c>
      <c r="U268" t="s">
        <v>34</v>
      </c>
      <c r="V268" s="1">
        <v>46090</v>
      </c>
      <c r="W268" s="1">
        <v>46108</v>
      </c>
      <c r="Y268" t="s">
        <v>676</v>
      </c>
      <c r="Z268" s="1">
        <v>46069</v>
      </c>
    </row>
    <row r="269" spans="1:26" x14ac:dyDescent="0.25">
      <c r="A269">
        <f t="shared" ca="1" si="20"/>
        <v>0</v>
      </c>
      <c r="C269">
        <f t="shared" ca="1" si="21"/>
        <v>0</v>
      </c>
      <c r="D269" t="s">
        <v>285</v>
      </c>
      <c r="E269" t="s">
        <v>49</v>
      </c>
      <c r="F269">
        <v>1642</v>
      </c>
      <c r="G269" t="s">
        <v>263</v>
      </c>
      <c r="H269" t="s">
        <v>677</v>
      </c>
      <c r="I269" t="s">
        <v>187</v>
      </c>
      <c r="J269" t="s">
        <v>285</v>
      </c>
      <c r="K269" t="s">
        <v>326</v>
      </c>
      <c r="L269" t="s">
        <v>678</v>
      </c>
      <c r="M269">
        <v>3000</v>
      </c>
      <c r="N269">
        <v>589</v>
      </c>
      <c r="X269" t="s">
        <v>175</v>
      </c>
    </row>
    <row r="270" spans="1:26" x14ac:dyDescent="0.25">
      <c r="A270">
        <f t="shared" ca="1" si="20"/>
        <v>0</v>
      </c>
      <c r="C270">
        <f t="shared" ca="1" si="21"/>
        <v>0</v>
      </c>
      <c r="D270" t="s">
        <v>196</v>
      </c>
      <c r="E270" t="s">
        <v>49</v>
      </c>
      <c r="F270">
        <v>1507</v>
      </c>
      <c r="G270" t="s">
        <v>231</v>
      </c>
      <c r="H270" t="s">
        <v>679</v>
      </c>
      <c r="I270" t="s">
        <v>187</v>
      </c>
      <c r="J270" t="s">
        <v>196</v>
      </c>
      <c r="K270" t="s">
        <v>326</v>
      </c>
      <c r="L270" t="s">
        <v>680</v>
      </c>
      <c r="M270">
        <v>4000</v>
      </c>
      <c r="N270">
        <v>590</v>
      </c>
      <c r="O270">
        <v>5019374</v>
      </c>
      <c r="P270">
        <v>166</v>
      </c>
      <c r="Q270" t="s">
        <v>681</v>
      </c>
      <c r="R270">
        <v>2062.5</v>
      </c>
      <c r="S270">
        <v>2062.5</v>
      </c>
      <c r="T270">
        <v>0</v>
      </c>
      <c r="U270" t="s">
        <v>34</v>
      </c>
      <c r="V270" s="1">
        <v>46055</v>
      </c>
      <c r="W270" s="1">
        <v>46108</v>
      </c>
      <c r="Y270" t="s">
        <v>47</v>
      </c>
      <c r="Z270" s="1">
        <v>46070</v>
      </c>
    </row>
    <row r="271" spans="1:26" x14ac:dyDescent="0.25">
      <c r="A271">
        <f t="shared" ca="1" si="20"/>
        <v>0</v>
      </c>
      <c r="C271">
        <f t="shared" ca="1" si="21"/>
        <v>0</v>
      </c>
      <c r="D271" t="s">
        <v>221</v>
      </c>
      <c r="E271" t="s">
        <v>49</v>
      </c>
      <c r="F271">
        <v>1680</v>
      </c>
      <c r="G271" t="s">
        <v>50</v>
      </c>
      <c r="H271" t="s">
        <v>682</v>
      </c>
      <c r="I271" t="s">
        <v>187</v>
      </c>
      <c r="J271" t="s">
        <v>221</v>
      </c>
      <c r="K271" t="s">
        <v>326</v>
      </c>
      <c r="L271" t="s">
        <v>683</v>
      </c>
      <c r="M271">
        <v>4000</v>
      </c>
      <c r="N271">
        <v>591</v>
      </c>
    </row>
    <row r="272" spans="1:26" x14ac:dyDescent="0.25">
      <c r="A272">
        <f t="shared" ca="1" si="20"/>
        <v>0</v>
      </c>
      <c r="C272">
        <f t="shared" ca="1" si="21"/>
        <v>0</v>
      </c>
      <c r="D272" t="s">
        <v>285</v>
      </c>
      <c r="E272" t="s">
        <v>49</v>
      </c>
      <c r="F272">
        <v>1711</v>
      </c>
      <c r="G272" t="s">
        <v>50</v>
      </c>
      <c r="H272" t="s">
        <v>684</v>
      </c>
      <c r="I272" t="s">
        <v>187</v>
      </c>
      <c r="J272" t="s">
        <v>285</v>
      </c>
      <c r="K272" t="s">
        <v>326</v>
      </c>
      <c r="L272" t="s">
        <v>685</v>
      </c>
      <c r="M272">
        <v>4500</v>
      </c>
      <c r="N272">
        <v>592</v>
      </c>
      <c r="X272" t="s">
        <v>686</v>
      </c>
    </row>
    <row r="273" spans="1:26" x14ac:dyDescent="0.25">
      <c r="A273">
        <f t="shared" ca="1" si="20"/>
        <v>0</v>
      </c>
      <c r="C273">
        <f t="shared" ca="1" si="21"/>
        <v>0</v>
      </c>
      <c r="D273" t="s">
        <v>183</v>
      </c>
      <c r="E273" t="s">
        <v>49</v>
      </c>
      <c r="F273">
        <v>1598</v>
      </c>
      <c r="G273" t="s">
        <v>263</v>
      </c>
      <c r="H273" t="s">
        <v>687</v>
      </c>
      <c r="I273" t="s">
        <v>187</v>
      </c>
      <c r="J273" t="s">
        <v>183</v>
      </c>
      <c r="K273" t="s">
        <v>326</v>
      </c>
      <c r="L273" t="s">
        <v>688</v>
      </c>
      <c r="M273">
        <v>6000</v>
      </c>
      <c r="N273">
        <v>593</v>
      </c>
      <c r="O273">
        <v>5019385</v>
      </c>
      <c r="P273">
        <v>166</v>
      </c>
      <c r="Q273" t="s">
        <v>681</v>
      </c>
      <c r="R273">
        <v>10348.469999999999</v>
      </c>
      <c r="S273">
        <v>10348.469999999999</v>
      </c>
      <c r="T273">
        <v>0</v>
      </c>
      <c r="U273" t="s">
        <v>34</v>
      </c>
      <c r="V273" s="1">
        <v>46062</v>
      </c>
      <c r="W273" s="1">
        <v>46171</v>
      </c>
      <c r="Y273" t="s">
        <v>47</v>
      </c>
      <c r="Z273" s="1">
        <v>46114</v>
      </c>
    </row>
    <row r="274" spans="1:26" x14ac:dyDescent="0.25">
      <c r="A274">
        <f t="shared" ca="1" si="20"/>
        <v>0</v>
      </c>
      <c r="C274">
        <f t="shared" ca="1" si="21"/>
        <v>0</v>
      </c>
      <c r="D274" t="s">
        <v>183</v>
      </c>
      <c r="E274" t="s">
        <v>49</v>
      </c>
      <c r="F274">
        <v>892</v>
      </c>
      <c r="G274" t="s">
        <v>689</v>
      </c>
      <c r="H274" t="s">
        <v>690</v>
      </c>
      <c r="I274" t="s">
        <v>187</v>
      </c>
      <c r="J274" t="s">
        <v>183</v>
      </c>
      <c r="K274" t="s">
        <v>326</v>
      </c>
      <c r="L274" t="s">
        <v>691</v>
      </c>
      <c r="M274">
        <v>5000</v>
      </c>
      <c r="N274">
        <v>594</v>
      </c>
    </row>
    <row r="275" spans="1:26" x14ac:dyDescent="0.25">
      <c r="A275">
        <f t="shared" ca="1" si="20"/>
        <v>0</v>
      </c>
      <c r="C275">
        <f t="shared" ca="1" si="21"/>
        <v>0</v>
      </c>
      <c r="D275" t="s">
        <v>285</v>
      </c>
      <c r="E275" t="s">
        <v>49</v>
      </c>
      <c r="F275">
        <v>1774</v>
      </c>
      <c r="G275" t="s">
        <v>692</v>
      </c>
      <c r="H275" t="s">
        <v>693</v>
      </c>
      <c r="I275" t="s">
        <v>187</v>
      </c>
      <c r="J275" t="s">
        <v>285</v>
      </c>
      <c r="K275" t="s">
        <v>326</v>
      </c>
      <c r="L275" t="s">
        <v>694</v>
      </c>
      <c r="M275">
        <v>6500</v>
      </c>
      <c r="N275">
        <v>595</v>
      </c>
      <c r="R275">
        <v>3591.8</v>
      </c>
      <c r="S275">
        <v>3591.8</v>
      </c>
      <c r="T275">
        <v>0</v>
      </c>
    </row>
    <row r="276" spans="1:26" x14ac:dyDescent="0.25">
      <c r="A276">
        <f t="shared" ca="1" si="20"/>
        <v>0</v>
      </c>
      <c r="C276">
        <f t="shared" ca="1" si="21"/>
        <v>0</v>
      </c>
      <c r="D276" t="s">
        <v>285</v>
      </c>
      <c r="E276" t="s">
        <v>49</v>
      </c>
      <c r="F276">
        <v>1952</v>
      </c>
      <c r="G276" t="s">
        <v>228</v>
      </c>
      <c r="H276" t="s">
        <v>695</v>
      </c>
      <c r="I276" t="s">
        <v>187</v>
      </c>
      <c r="J276" t="s">
        <v>285</v>
      </c>
      <c r="K276" t="s">
        <v>326</v>
      </c>
      <c r="L276" t="s">
        <v>696</v>
      </c>
      <c r="M276">
        <v>6000</v>
      </c>
      <c r="N276">
        <v>596</v>
      </c>
      <c r="O276">
        <v>5052346</v>
      </c>
      <c r="P276">
        <v>16262</v>
      </c>
      <c r="Q276" t="s">
        <v>697</v>
      </c>
      <c r="R276">
        <v>5344.56</v>
      </c>
      <c r="S276">
        <v>5344.56</v>
      </c>
      <c r="T276">
        <v>0</v>
      </c>
      <c r="U276" t="s">
        <v>34</v>
      </c>
      <c r="V276" s="1">
        <v>46132</v>
      </c>
      <c r="W276" s="1">
        <v>46171</v>
      </c>
    </row>
    <row r="277" spans="1:26" x14ac:dyDescent="0.25">
      <c r="A277">
        <f t="shared" ca="1" si="20"/>
        <v>0</v>
      </c>
      <c r="C277">
        <f t="shared" ca="1" si="21"/>
        <v>0</v>
      </c>
      <c r="D277" t="s">
        <v>285</v>
      </c>
      <c r="E277" t="s">
        <v>49</v>
      </c>
      <c r="F277">
        <v>1777</v>
      </c>
      <c r="G277" t="s">
        <v>263</v>
      </c>
      <c r="H277" t="s">
        <v>698</v>
      </c>
      <c r="I277" t="s">
        <v>187</v>
      </c>
      <c r="J277" t="s">
        <v>285</v>
      </c>
      <c r="K277" t="s">
        <v>326</v>
      </c>
      <c r="L277" t="s">
        <v>699</v>
      </c>
      <c r="M277">
        <v>6000</v>
      </c>
      <c r="N277">
        <v>597</v>
      </c>
      <c r="O277">
        <v>5081101</v>
      </c>
      <c r="P277">
        <v>6455</v>
      </c>
      <c r="Q277" t="s">
        <v>39</v>
      </c>
      <c r="R277">
        <v>2178.91</v>
      </c>
      <c r="S277">
        <v>2178.91</v>
      </c>
      <c r="T277">
        <v>0</v>
      </c>
      <c r="U277" t="s">
        <v>34</v>
      </c>
      <c r="V277" s="1">
        <v>46190</v>
      </c>
      <c r="W277" s="1">
        <v>46191</v>
      </c>
      <c r="X277" t="s">
        <v>700</v>
      </c>
    </row>
    <row r="279" spans="1:26" x14ac:dyDescent="0.25">
      <c r="A279">
        <f ca="1">+ Cmde</f>
        <v>0</v>
      </c>
      <c r="C279">
        <f ca="1">+ Devis</f>
        <v>0</v>
      </c>
      <c r="D279" t="s">
        <v>196</v>
      </c>
      <c r="E279" t="s">
        <v>49</v>
      </c>
      <c r="F279">
        <v>892</v>
      </c>
      <c r="G279" t="s">
        <v>689</v>
      </c>
      <c r="H279" t="s">
        <v>701</v>
      </c>
      <c r="I279" t="s">
        <v>187</v>
      </c>
      <c r="J279" t="s">
        <v>196</v>
      </c>
      <c r="K279" t="s">
        <v>326</v>
      </c>
      <c r="L279" t="s">
        <v>702</v>
      </c>
      <c r="M279">
        <v>22000</v>
      </c>
      <c r="N279">
        <v>598</v>
      </c>
      <c r="X279" t="s">
        <v>703</v>
      </c>
    </row>
    <row r="281" spans="1:26" x14ac:dyDescent="0.25">
      <c r="A281">
        <f t="shared" ref="A281:A312" ca="1" si="22">+ Cmde</f>
        <v>0</v>
      </c>
      <c r="C281">
        <f t="shared" ref="C281:C312" ca="1" si="23">+ Devis</f>
        <v>0</v>
      </c>
      <c r="D281" t="s">
        <v>203</v>
      </c>
      <c r="E281" t="s">
        <v>49</v>
      </c>
      <c r="F281">
        <v>1509</v>
      </c>
      <c r="G281" t="s">
        <v>231</v>
      </c>
      <c r="H281" t="s">
        <v>704</v>
      </c>
      <c r="I281" t="s">
        <v>44</v>
      </c>
      <c r="J281" t="s">
        <v>203</v>
      </c>
      <c r="K281" t="s">
        <v>326</v>
      </c>
      <c r="L281" t="s">
        <v>705</v>
      </c>
      <c r="M281">
        <v>2500</v>
      </c>
      <c r="N281">
        <v>600</v>
      </c>
      <c r="O281">
        <v>5014006</v>
      </c>
      <c r="P281">
        <v>1868</v>
      </c>
      <c r="Q281" t="s">
        <v>706</v>
      </c>
      <c r="R281">
        <v>2816</v>
      </c>
      <c r="S281">
        <v>2816</v>
      </c>
      <c r="T281">
        <v>0</v>
      </c>
      <c r="U281" t="s">
        <v>34</v>
      </c>
      <c r="V281" s="1">
        <v>46041</v>
      </c>
      <c r="W281" s="1">
        <v>46073</v>
      </c>
    </row>
    <row r="282" spans="1:26" x14ac:dyDescent="0.25">
      <c r="A282">
        <f t="shared" ca="1" si="22"/>
        <v>0</v>
      </c>
      <c r="C282">
        <f t="shared" ca="1" si="23"/>
        <v>0</v>
      </c>
      <c r="D282" t="s">
        <v>41</v>
      </c>
      <c r="E282" t="s">
        <v>49</v>
      </c>
      <c r="F282">
        <v>1996</v>
      </c>
      <c r="G282" t="s">
        <v>50</v>
      </c>
      <c r="H282" t="s">
        <v>707</v>
      </c>
      <c r="I282" t="s">
        <v>44</v>
      </c>
      <c r="J282" t="s">
        <v>41</v>
      </c>
      <c r="K282" t="s">
        <v>326</v>
      </c>
      <c r="L282" t="s">
        <v>708</v>
      </c>
      <c r="M282">
        <v>3000</v>
      </c>
      <c r="N282">
        <v>602</v>
      </c>
      <c r="O282">
        <v>5017194</v>
      </c>
      <c r="P282">
        <v>4921</v>
      </c>
      <c r="Q282" t="s">
        <v>94</v>
      </c>
      <c r="R282">
        <v>5486.54</v>
      </c>
      <c r="T282">
        <v>5486.54</v>
      </c>
      <c r="U282" t="s">
        <v>40</v>
      </c>
      <c r="V282" s="1">
        <v>46048</v>
      </c>
      <c r="W282" s="1">
        <v>46108</v>
      </c>
    </row>
    <row r="283" spans="1:26" x14ac:dyDescent="0.25">
      <c r="A283">
        <f t="shared" ca="1" si="22"/>
        <v>0</v>
      </c>
      <c r="C283">
        <f t="shared" ca="1" si="23"/>
        <v>0</v>
      </c>
      <c r="D283" t="s">
        <v>203</v>
      </c>
      <c r="E283" t="s">
        <v>49</v>
      </c>
      <c r="F283">
        <v>1533</v>
      </c>
      <c r="G283" t="s">
        <v>689</v>
      </c>
      <c r="H283" t="s">
        <v>709</v>
      </c>
      <c r="I283" t="s">
        <v>44</v>
      </c>
      <c r="J283" t="s">
        <v>203</v>
      </c>
      <c r="K283" t="s">
        <v>326</v>
      </c>
      <c r="L283" t="s">
        <v>710</v>
      </c>
      <c r="M283">
        <v>3000</v>
      </c>
      <c r="N283">
        <v>603</v>
      </c>
      <c r="O283">
        <v>5123967</v>
      </c>
      <c r="P283">
        <v>16262</v>
      </c>
      <c r="Q283" t="s">
        <v>697</v>
      </c>
      <c r="R283">
        <v>1135.2</v>
      </c>
      <c r="T283">
        <v>1135.2</v>
      </c>
      <c r="U283" t="s">
        <v>107</v>
      </c>
      <c r="V283" s="1">
        <v>46286</v>
      </c>
      <c r="W283" s="1">
        <v>46318</v>
      </c>
    </row>
    <row r="284" spans="1:26" x14ac:dyDescent="0.25">
      <c r="A284">
        <f t="shared" ca="1" si="22"/>
        <v>0</v>
      </c>
      <c r="C284">
        <f t="shared" ca="1" si="23"/>
        <v>0</v>
      </c>
      <c r="D284" t="s">
        <v>41</v>
      </c>
      <c r="E284" t="s">
        <v>49</v>
      </c>
      <c r="F284">
        <v>892</v>
      </c>
      <c r="G284" t="s">
        <v>689</v>
      </c>
      <c r="H284" t="s">
        <v>711</v>
      </c>
      <c r="I284" t="s">
        <v>44</v>
      </c>
      <c r="J284" t="s">
        <v>41</v>
      </c>
      <c r="K284" t="s">
        <v>326</v>
      </c>
      <c r="L284" t="s">
        <v>712</v>
      </c>
      <c r="M284">
        <v>3000</v>
      </c>
      <c r="N284">
        <v>604</v>
      </c>
      <c r="O284">
        <v>5091369</v>
      </c>
      <c r="P284">
        <v>5978</v>
      </c>
      <c r="Q284" t="s">
        <v>54</v>
      </c>
      <c r="R284">
        <v>1402.17</v>
      </c>
      <c r="T284">
        <v>1402.17</v>
      </c>
      <c r="U284" t="s">
        <v>40</v>
      </c>
      <c r="V284" s="1">
        <v>46209</v>
      </c>
      <c r="W284" s="1">
        <v>46262</v>
      </c>
    </row>
    <row r="285" spans="1:26" x14ac:dyDescent="0.25">
      <c r="A285">
        <f t="shared" ca="1" si="22"/>
        <v>0</v>
      </c>
      <c r="C285">
        <f t="shared" ca="1" si="23"/>
        <v>0</v>
      </c>
      <c r="D285" t="s">
        <v>41</v>
      </c>
      <c r="E285" t="s">
        <v>49</v>
      </c>
      <c r="F285">
        <v>1545</v>
      </c>
      <c r="G285" t="s">
        <v>231</v>
      </c>
      <c r="H285" t="s">
        <v>713</v>
      </c>
      <c r="I285" t="s">
        <v>44</v>
      </c>
      <c r="J285" t="s">
        <v>41</v>
      </c>
      <c r="K285" t="s">
        <v>326</v>
      </c>
      <c r="L285" t="s">
        <v>714</v>
      </c>
      <c r="M285">
        <v>3500</v>
      </c>
      <c r="N285">
        <v>605</v>
      </c>
    </row>
    <row r="286" spans="1:26" x14ac:dyDescent="0.25">
      <c r="A286">
        <f t="shared" ca="1" si="22"/>
        <v>0</v>
      </c>
      <c r="C286">
        <f t="shared" ca="1" si="23"/>
        <v>0</v>
      </c>
      <c r="D286" t="s">
        <v>41</v>
      </c>
      <c r="E286" t="s">
        <v>49</v>
      </c>
      <c r="F286">
        <v>1546</v>
      </c>
      <c r="G286" t="s">
        <v>231</v>
      </c>
      <c r="H286" t="s">
        <v>715</v>
      </c>
      <c r="I286" t="s">
        <v>44</v>
      </c>
      <c r="J286" t="s">
        <v>41</v>
      </c>
      <c r="K286" t="s">
        <v>326</v>
      </c>
      <c r="L286" t="s">
        <v>714</v>
      </c>
      <c r="M286">
        <v>3500</v>
      </c>
      <c r="N286">
        <v>606</v>
      </c>
    </row>
    <row r="287" spans="1:26" x14ac:dyDescent="0.25">
      <c r="A287">
        <f t="shared" ca="1" si="22"/>
        <v>0</v>
      </c>
      <c r="C287">
        <f t="shared" ca="1" si="23"/>
        <v>0</v>
      </c>
      <c r="D287" t="s">
        <v>203</v>
      </c>
      <c r="E287" t="s">
        <v>49</v>
      </c>
      <c r="F287">
        <v>1239</v>
      </c>
      <c r="G287" t="s">
        <v>670</v>
      </c>
      <c r="H287" t="s">
        <v>716</v>
      </c>
      <c r="I287" t="s">
        <v>44</v>
      </c>
      <c r="J287" t="s">
        <v>203</v>
      </c>
      <c r="K287" t="s">
        <v>326</v>
      </c>
      <c r="L287" t="s">
        <v>717</v>
      </c>
      <c r="M287">
        <v>6500</v>
      </c>
      <c r="N287">
        <v>607</v>
      </c>
      <c r="O287">
        <v>5012205</v>
      </c>
      <c r="P287">
        <v>563</v>
      </c>
      <c r="Q287" t="s">
        <v>718</v>
      </c>
      <c r="R287">
        <v>8121.8</v>
      </c>
      <c r="S287">
        <v>8121.8</v>
      </c>
      <c r="T287">
        <v>0</v>
      </c>
      <c r="U287" t="s">
        <v>34</v>
      </c>
      <c r="V287" s="1">
        <v>46062</v>
      </c>
      <c r="W287" s="1">
        <v>46122</v>
      </c>
    </row>
    <row r="288" spans="1:26" x14ac:dyDescent="0.25">
      <c r="A288">
        <f t="shared" ca="1" si="22"/>
        <v>0</v>
      </c>
      <c r="C288">
        <f t="shared" ca="1" si="23"/>
        <v>0</v>
      </c>
      <c r="D288" t="s">
        <v>203</v>
      </c>
      <c r="E288" t="s">
        <v>49</v>
      </c>
      <c r="F288">
        <v>1533</v>
      </c>
      <c r="G288" t="s">
        <v>689</v>
      </c>
      <c r="H288" t="s">
        <v>719</v>
      </c>
      <c r="I288" t="s">
        <v>44</v>
      </c>
      <c r="J288" t="s">
        <v>203</v>
      </c>
      <c r="K288" t="s">
        <v>326</v>
      </c>
      <c r="L288" t="s">
        <v>720</v>
      </c>
      <c r="M288">
        <v>6500</v>
      </c>
      <c r="N288">
        <v>608</v>
      </c>
      <c r="O288">
        <v>5049244</v>
      </c>
      <c r="P288">
        <v>17125</v>
      </c>
      <c r="Q288" t="s">
        <v>721</v>
      </c>
      <c r="R288">
        <v>7565.81</v>
      </c>
      <c r="S288">
        <v>7565.81</v>
      </c>
      <c r="T288">
        <v>0</v>
      </c>
      <c r="U288" t="s">
        <v>34</v>
      </c>
      <c r="V288" s="1">
        <v>46132</v>
      </c>
      <c r="W288" s="1">
        <v>46199</v>
      </c>
    </row>
    <row r="289" spans="1:26" x14ac:dyDescent="0.25">
      <c r="A289">
        <f t="shared" ca="1" si="22"/>
        <v>0</v>
      </c>
      <c r="C289">
        <f t="shared" ca="1" si="23"/>
        <v>0</v>
      </c>
      <c r="D289" t="s">
        <v>203</v>
      </c>
      <c r="E289" t="s">
        <v>49</v>
      </c>
      <c r="F289">
        <v>1572</v>
      </c>
      <c r="G289" t="s">
        <v>689</v>
      </c>
      <c r="H289" t="s">
        <v>722</v>
      </c>
      <c r="I289" t="s">
        <v>44</v>
      </c>
      <c r="J289" t="s">
        <v>203</v>
      </c>
      <c r="K289" t="s">
        <v>326</v>
      </c>
      <c r="L289" t="s">
        <v>723</v>
      </c>
      <c r="M289">
        <v>4000</v>
      </c>
      <c r="N289">
        <v>609</v>
      </c>
      <c r="X289" t="s">
        <v>40</v>
      </c>
    </row>
    <row r="290" spans="1:26" x14ac:dyDescent="0.25">
      <c r="A290">
        <f t="shared" ca="1" si="22"/>
        <v>0</v>
      </c>
      <c r="C290">
        <f t="shared" ca="1" si="23"/>
        <v>0</v>
      </c>
      <c r="D290" t="s">
        <v>203</v>
      </c>
      <c r="E290" t="s">
        <v>49</v>
      </c>
      <c r="F290">
        <v>1640</v>
      </c>
      <c r="G290" t="s">
        <v>670</v>
      </c>
      <c r="H290" t="s">
        <v>724</v>
      </c>
      <c r="I290" t="s">
        <v>44</v>
      </c>
      <c r="J290" t="s">
        <v>203</v>
      </c>
      <c r="K290" t="s">
        <v>326</v>
      </c>
      <c r="L290" t="s">
        <v>725</v>
      </c>
      <c r="M290">
        <v>6000</v>
      </c>
      <c r="N290">
        <v>610</v>
      </c>
      <c r="O290">
        <v>5065031</v>
      </c>
      <c r="P290">
        <v>17125</v>
      </c>
      <c r="Q290" t="s">
        <v>721</v>
      </c>
      <c r="R290">
        <v>5777.31</v>
      </c>
      <c r="T290">
        <v>5777.31</v>
      </c>
      <c r="U290" t="s">
        <v>40</v>
      </c>
      <c r="V290" s="1">
        <v>46181</v>
      </c>
      <c r="W290" s="1">
        <v>46227</v>
      </c>
    </row>
    <row r="291" spans="1:26" x14ac:dyDescent="0.25">
      <c r="A291">
        <f t="shared" ca="1" si="22"/>
        <v>0</v>
      </c>
      <c r="C291">
        <f t="shared" ca="1" si="23"/>
        <v>0</v>
      </c>
      <c r="D291" t="s">
        <v>41</v>
      </c>
      <c r="E291" t="s">
        <v>49</v>
      </c>
      <c r="F291">
        <v>251</v>
      </c>
      <c r="G291" t="s">
        <v>726</v>
      </c>
      <c r="H291" t="s">
        <v>727</v>
      </c>
      <c r="I291" t="s">
        <v>44</v>
      </c>
      <c r="J291" t="s">
        <v>41</v>
      </c>
      <c r="K291" t="s">
        <v>326</v>
      </c>
      <c r="L291" t="s">
        <v>728</v>
      </c>
      <c r="M291">
        <v>8000</v>
      </c>
      <c r="N291">
        <v>611</v>
      </c>
      <c r="O291">
        <v>5011674</v>
      </c>
      <c r="P291">
        <v>5978</v>
      </c>
      <c r="Q291" t="s">
        <v>54</v>
      </c>
      <c r="R291">
        <v>9622.7999999999993</v>
      </c>
      <c r="S291">
        <v>9622.7999999999993</v>
      </c>
      <c r="T291">
        <v>0</v>
      </c>
      <c r="U291" t="s">
        <v>34</v>
      </c>
      <c r="V291" s="1">
        <v>46048</v>
      </c>
      <c r="W291" s="1">
        <v>46094</v>
      </c>
      <c r="Y291" t="s">
        <v>47</v>
      </c>
      <c r="Z291" s="1">
        <v>46029</v>
      </c>
    </row>
    <row r="292" spans="1:26" x14ac:dyDescent="0.25">
      <c r="A292">
        <f t="shared" ca="1" si="22"/>
        <v>0</v>
      </c>
      <c r="C292">
        <f t="shared" ca="1" si="23"/>
        <v>0</v>
      </c>
      <c r="D292" t="s">
        <v>203</v>
      </c>
      <c r="E292" t="s">
        <v>49</v>
      </c>
      <c r="F292">
        <v>1800</v>
      </c>
      <c r="G292" t="s">
        <v>231</v>
      </c>
      <c r="H292" t="s">
        <v>729</v>
      </c>
      <c r="I292" t="s">
        <v>44</v>
      </c>
      <c r="J292" t="s">
        <v>203</v>
      </c>
      <c r="K292" t="s">
        <v>326</v>
      </c>
      <c r="L292" t="s">
        <v>730</v>
      </c>
      <c r="M292">
        <v>6500</v>
      </c>
      <c r="N292">
        <v>612</v>
      </c>
      <c r="O292">
        <v>5037700</v>
      </c>
      <c r="P292">
        <v>4787</v>
      </c>
      <c r="Q292" t="s">
        <v>206</v>
      </c>
      <c r="R292">
        <v>6079.78</v>
      </c>
      <c r="S292">
        <v>6079.78</v>
      </c>
      <c r="T292">
        <v>0</v>
      </c>
      <c r="U292" t="s">
        <v>34</v>
      </c>
      <c r="V292" s="1">
        <v>46090</v>
      </c>
      <c r="W292" s="1">
        <v>46108</v>
      </c>
    </row>
    <row r="293" spans="1:26" x14ac:dyDescent="0.25">
      <c r="A293">
        <f t="shared" ca="1" si="22"/>
        <v>0</v>
      </c>
      <c r="C293">
        <f t="shared" ca="1" si="23"/>
        <v>0</v>
      </c>
      <c r="D293" t="s">
        <v>203</v>
      </c>
      <c r="E293" t="s">
        <v>49</v>
      </c>
      <c r="F293">
        <v>1237</v>
      </c>
      <c r="G293" t="s">
        <v>726</v>
      </c>
      <c r="H293" t="s">
        <v>731</v>
      </c>
      <c r="I293" t="s">
        <v>44</v>
      </c>
      <c r="J293" t="s">
        <v>203</v>
      </c>
      <c r="K293" t="s">
        <v>326</v>
      </c>
      <c r="L293" t="s">
        <v>732</v>
      </c>
      <c r="M293">
        <v>6500</v>
      </c>
      <c r="N293">
        <v>613</v>
      </c>
      <c r="O293">
        <v>5048594</v>
      </c>
      <c r="P293">
        <v>193</v>
      </c>
      <c r="Q293" t="s">
        <v>733</v>
      </c>
      <c r="R293">
        <v>2376</v>
      </c>
      <c r="S293">
        <v>2376</v>
      </c>
      <c r="T293">
        <v>0</v>
      </c>
      <c r="U293" t="s">
        <v>34</v>
      </c>
      <c r="V293" s="1">
        <v>46111</v>
      </c>
      <c r="W293" s="1">
        <v>46129</v>
      </c>
      <c r="Y293" t="s">
        <v>47</v>
      </c>
      <c r="Z293" s="1">
        <v>46104</v>
      </c>
    </row>
    <row r="294" spans="1:26" x14ac:dyDescent="0.25">
      <c r="A294">
        <f t="shared" ca="1" si="22"/>
        <v>0</v>
      </c>
      <c r="C294">
        <f t="shared" ca="1" si="23"/>
        <v>0</v>
      </c>
      <c r="D294" t="s">
        <v>57</v>
      </c>
      <c r="E294" t="s">
        <v>49</v>
      </c>
      <c r="F294">
        <v>1522</v>
      </c>
      <c r="G294" t="s">
        <v>670</v>
      </c>
      <c r="H294" t="s">
        <v>734</v>
      </c>
      <c r="I294" t="s">
        <v>44</v>
      </c>
      <c r="J294" t="s">
        <v>57</v>
      </c>
      <c r="K294" t="s">
        <v>326</v>
      </c>
      <c r="L294" t="s">
        <v>735</v>
      </c>
      <c r="M294">
        <v>9000</v>
      </c>
      <c r="N294">
        <v>614</v>
      </c>
    </row>
    <row r="295" spans="1:26" x14ac:dyDescent="0.25">
      <c r="A295">
        <f t="shared" ca="1" si="22"/>
        <v>0</v>
      </c>
      <c r="C295">
        <f t="shared" ca="1" si="23"/>
        <v>0</v>
      </c>
      <c r="D295" t="s">
        <v>74</v>
      </c>
      <c r="E295" t="s">
        <v>245</v>
      </c>
      <c r="F295">
        <v>1247</v>
      </c>
      <c r="G295" t="s">
        <v>736</v>
      </c>
      <c r="H295" t="s">
        <v>737</v>
      </c>
      <c r="I295" t="s">
        <v>30</v>
      </c>
      <c r="J295" t="s">
        <v>74</v>
      </c>
      <c r="K295" t="s">
        <v>188</v>
      </c>
      <c r="L295" t="s">
        <v>738</v>
      </c>
      <c r="M295">
        <v>14000</v>
      </c>
      <c r="N295">
        <v>759</v>
      </c>
      <c r="O295">
        <v>5018900</v>
      </c>
      <c r="P295">
        <v>24003</v>
      </c>
      <c r="Q295" t="s">
        <v>739</v>
      </c>
      <c r="R295">
        <v>2072.6999999999998</v>
      </c>
      <c r="S295">
        <v>2072.6999999999998</v>
      </c>
      <c r="T295">
        <v>0</v>
      </c>
      <c r="U295" t="s">
        <v>34</v>
      </c>
      <c r="V295" s="1">
        <v>46104</v>
      </c>
      <c r="W295" s="1">
        <v>46109</v>
      </c>
    </row>
    <row r="296" spans="1:26" x14ac:dyDescent="0.25">
      <c r="A296">
        <f t="shared" ca="1" si="22"/>
        <v>0</v>
      </c>
      <c r="C296">
        <f t="shared" ca="1" si="23"/>
        <v>0</v>
      </c>
      <c r="D296" t="s">
        <v>183</v>
      </c>
      <c r="E296" t="s">
        <v>245</v>
      </c>
      <c r="F296">
        <v>1247</v>
      </c>
      <c r="G296" t="s">
        <v>736</v>
      </c>
      <c r="H296" t="s">
        <v>740</v>
      </c>
      <c r="I296" t="s">
        <v>187</v>
      </c>
      <c r="J296" t="s">
        <v>183</v>
      </c>
      <c r="K296" t="s">
        <v>188</v>
      </c>
      <c r="L296" t="s">
        <v>741</v>
      </c>
      <c r="M296">
        <v>12500</v>
      </c>
      <c r="N296">
        <v>740</v>
      </c>
      <c r="O296">
        <v>5018914</v>
      </c>
      <c r="P296">
        <v>24003</v>
      </c>
      <c r="Q296" t="s">
        <v>739</v>
      </c>
      <c r="R296">
        <v>4556.6000000000004</v>
      </c>
      <c r="S296">
        <v>4556.6000000000004</v>
      </c>
      <c r="T296">
        <v>0</v>
      </c>
      <c r="U296" t="s">
        <v>34</v>
      </c>
      <c r="V296" s="1">
        <v>46097</v>
      </c>
      <c r="W296" s="1">
        <v>46109</v>
      </c>
    </row>
    <row r="297" spans="1:26" x14ac:dyDescent="0.25">
      <c r="A297">
        <f t="shared" ca="1" si="22"/>
        <v>0</v>
      </c>
      <c r="C297">
        <f t="shared" ca="1" si="23"/>
        <v>0</v>
      </c>
      <c r="D297" t="s">
        <v>183</v>
      </c>
      <c r="E297" t="s">
        <v>245</v>
      </c>
      <c r="F297">
        <v>1247</v>
      </c>
      <c r="G297" t="s">
        <v>736</v>
      </c>
      <c r="H297" t="s">
        <v>742</v>
      </c>
      <c r="I297" t="s">
        <v>187</v>
      </c>
      <c r="J297" t="s">
        <v>183</v>
      </c>
      <c r="K297" t="s">
        <v>188</v>
      </c>
      <c r="L297" t="s">
        <v>743</v>
      </c>
      <c r="M297">
        <v>12500</v>
      </c>
      <c r="N297">
        <v>740</v>
      </c>
      <c r="O297">
        <v>5018921</v>
      </c>
      <c r="P297">
        <v>24003</v>
      </c>
      <c r="Q297" t="s">
        <v>739</v>
      </c>
      <c r="R297">
        <v>3953.1</v>
      </c>
      <c r="S297">
        <v>3953.1</v>
      </c>
      <c r="T297">
        <v>0</v>
      </c>
      <c r="U297" t="s">
        <v>34</v>
      </c>
      <c r="V297" s="1">
        <v>46097</v>
      </c>
      <c r="W297" s="1">
        <v>46109</v>
      </c>
    </row>
    <row r="298" spans="1:26" x14ac:dyDescent="0.25">
      <c r="A298">
        <f t="shared" ca="1" si="22"/>
        <v>0</v>
      </c>
      <c r="C298">
        <f t="shared" ca="1" si="23"/>
        <v>0</v>
      </c>
      <c r="D298" t="s">
        <v>355</v>
      </c>
      <c r="E298" t="s">
        <v>64</v>
      </c>
      <c r="F298">
        <v>171</v>
      </c>
      <c r="G298" t="s">
        <v>319</v>
      </c>
      <c r="H298" t="s">
        <v>744</v>
      </c>
      <c r="I298" t="s">
        <v>30</v>
      </c>
      <c r="J298" t="s">
        <v>355</v>
      </c>
      <c r="K298" t="s">
        <v>67</v>
      </c>
      <c r="L298" t="s">
        <v>745</v>
      </c>
      <c r="M298">
        <v>10000</v>
      </c>
      <c r="N298">
        <v>149</v>
      </c>
      <c r="O298">
        <v>5044516</v>
      </c>
      <c r="P298">
        <v>3587</v>
      </c>
      <c r="Q298" t="s">
        <v>746</v>
      </c>
      <c r="R298">
        <v>2630.48</v>
      </c>
      <c r="T298">
        <v>2630.48</v>
      </c>
      <c r="U298" t="s">
        <v>40</v>
      </c>
      <c r="V298" s="1">
        <v>46126</v>
      </c>
      <c r="W298" s="1">
        <v>46141</v>
      </c>
    </row>
    <row r="299" spans="1:26" x14ac:dyDescent="0.25">
      <c r="A299">
        <f t="shared" ca="1" si="22"/>
        <v>0</v>
      </c>
      <c r="C299">
        <f t="shared" ca="1" si="23"/>
        <v>0</v>
      </c>
      <c r="D299" t="s">
        <v>196</v>
      </c>
      <c r="E299" t="s">
        <v>58</v>
      </c>
      <c r="F299">
        <v>46</v>
      </c>
      <c r="G299" t="s">
        <v>747</v>
      </c>
      <c r="H299" t="s">
        <v>748</v>
      </c>
      <c r="I299" t="s">
        <v>187</v>
      </c>
      <c r="J299" t="s">
        <v>196</v>
      </c>
      <c r="K299" t="s">
        <v>61</v>
      </c>
      <c r="L299" t="s">
        <v>749</v>
      </c>
      <c r="O299">
        <v>5053962</v>
      </c>
      <c r="P299">
        <v>6364</v>
      </c>
      <c r="Q299" t="s">
        <v>331</v>
      </c>
      <c r="R299">
        <v>1951.95</v>
      </c>
      <c r="S299">
        <v>1951.95</v>
      </c>
      <c r="T299">
        <v>0</v>
      </c>
      <c r="U299" t="s">
        <v>34</v>
      </c>
      <c r="X299" t="s">
        <v>593</v>
      </c>
    </row>
    <row r="300" spans="1:26" x14ac:dyDescent="0.25">
      <c r="A300">
        <f t="shared" ca="1" si="22"/>
        <v>0</v>
      </c>
      <c r="C300">
        <f t="shared" ca="1" si="23"/>
        <v>0</v>
      </c>
      <c r="D300" t="s">
        <v>285</v>
      </c>
      <c r="E300" t="s">
        <v>49</v>
      </c>
      <c r="F300">
        <v>1620</v>
      </c>
      <c r="G300" t="s">
        <v>263</v>
      </c>
      <c r="H300" t="s">
        <v>668</v>
      </c>
      <c r="I300" t="s">
        <v>187</v>
      </c>
      <c r="J300" t="s">
        <v>285</v>
      </c>
      <c r="K300" t="s">
        <v>326</v>
      </c>
      <c r="L300" t="s">
        <v>750</v>
      </c>
      <c r="M300">
        <v>2000</v>
      </c>
      <c r="N300">
        <v>586</v>
      </c>
      <c r="O300">
        <v>5021962</v>
      </c>
      <c r="P300">
        <v>8336</v>
      </c>
      <c r="Q300" t="s">
        <v>751</v>
      </c>
      <c r="R300">
        <v>2472</v>
      </c>
      <c r="S300">
        <v>2472</v>
      </c>
      <c r="U300" t="s">
        <v>40</v>
      </c>
      <c r="V300" s="1">
        <v>46042</v>
      </c>
      <c r="W300" s="1">
        <v>46073</v>
      </c>
    </row>
    <row r="301" spans="1:26" x14ac:dyDescent="0.25">
      <c r="A301">
        <f t="shared" ca="1" si="22"/>
        <v>0</v>
      </c>
      <c r="C301">
        <f t="shared" ca="1" si="23"/>
        <v>0</v>
      </c>
      <c r="D301" t="s">
        <v>285</v>
      </c>
      <c r="E301" t="s">
        <v>27</v>
      </c>
      <c r="F301">
        <v>269</v>
      </c>
      <c r="G301" t="s">
        <v>85</v>
      </c>
      <c r="H301" t="s">
        <v>752</v>
      </c>
      <c r="I301" t="s">
        <v>187</v>
      </c>
      <c r="J301" t="s">
        <v>285</v>
      </c>
      <c r="K301" t="s">
        <v>31</v>
      </c>
      <c r="L301" t="s">
        <v>753</v>
      </c>
      <c r="M301">
        <v>7000</v>
      </c>
      <c r="N301">
        <v>303</v>
      </c>
      <c r="O301">
        <v>5079651</v>
      </c>
      <c r="P301">
        <v>7111</v>
      </c>
      <c r="Q301" t="s">
        <v>754</v>
      </c>
      <c r="R301">
        <v>3460.8</v>
      </c>
      <c r="T301">
        <v>3460.8</v>
      </c>
      <c r="U301" t="s">
        <v>40</v>
      </c>
      <c r="V301" s="1">
        <v>46266</v>
      </c>
      <c r="W301" s="1">
        <v>46295</v>
      </c>
    </row>
    <row r="302" spans="1:26" x14ac:dyDescent="0.25">
      <c r="A302">
        <f t="shared" ca="1" si="22"/>
        <v>0</v>
      </c>
      <c r="C302">
        <f t="shared" ca="1" si="23"/>
        <v>0</v>
      </c>
      <c r="D302" t="s">
        <v>183</v>
      </c>
      <c r="E302" t="s">
        <v>64</v>
      </c>
      <c r="F302">
        <v>1979</v>
      </c>
      <c r="G302" t="s">
        <v>755</v>
      </c>
      <c r="H302" t="s">
        <v>756</v>
      </c>
      <c r="I302" t="s">
        <v>187</v>
      </c>
      <c r="J302" t="s">
        <v>183</v>
      </c>
      <c r="K302" t="s">
        <v>67</v>
      </c>
      <c r="L302" t="s">
        <v>757</v>
      </c>
      <c r="O302">
        <v>5096039</v>
      </c>
      <c r="P302">
        <v>2391</v>
      </c>
      <c r="Q302" t="s">
        <v>314</v>
      </c>
      <c r="R302">
        <v>4416.8900000000003</v>
      </c>
      <c r="S302">
        <v>4416.8900000000003</v>
      </c>
      <c r="T302">
        <v>0</v>
      </c>
      <c r="U302" t="s">
        <v>34</v>
      </c>
    </row>
    <row r="303" spans="1:26" x14ac:dyDescent="0.25">
      <c r="A303">
        <f t="shared" ca="1" si="22"/>
        <v>0</v>
      </c>
      <c r="C303">
        <f t="shared" ca="1" si="23"/>
        <v>0</v>
      </c>
      <c r="D303" t="s">
        <v>35</v>
      </c>
      <c r="E303" t="s">
        <v>64</v>
      </c>
      <c r="F303">
        <v>104</v>
      </c>
      <c r="G303" t="s">
        <v>588</v>
      </c>
      <c r="H303" t="s">
        <v>589</v>
      </c>
      <c r="I303" t="s">
        <v>30</v>
      </c>
      <c r="J303" t="s">
        <v>35</v>
      </c>
      <c r="K303" t="s">
        <v>67</v>
      </c>
      <c r="L303" t="s">
        <v>590</v>
      </c>
      <c r="M303">
        <v>8000</v>
      </c>
      <c r="N303">
        <v>167</v>
      </c>
    </row>
    <row r="304" spans="1:26" x14ac:dyDescent="0.25">
      <c r="A304">
        <f t="shared" ca="1" si="22"/>
        <v>0</v>
      </c>
      <c r="C304">
        <f t="shared" ca="1" si="23"/>
        <v>0</v>
      </c>
      <c r="D304" t="s">
        <v>35</v>
      </c>
      <c r="E304" t="s">
        <v>64</v>
      </c>
      <c r="F304">
        <v>104</v>
      </c>
      <c r="G304" t="s">
        <v>588</v>
      </c>
      <c r="H304" t="s">
        <v>589</v>
      </c>
      <c r="I304" t="s">
        <v>30</v>
      </c>
      <c r="J304" t="s">
        <v>35</v>
      </c>
      <c r="K304" t="s">
        <v>67</v>
      </c>
      <c r="L304" t="s">
        <v>590</v>
      </c>
      <c r="M304">
        <v>8000</v>
      </c>
      <c r="N304">
        <v>167</v>
      </c>
      <c r="O304">
        <v>5100513</v>
      </c>
      <c r="P304">
        <v>6364</v>
      </c>
      <c r="Q304" t="s">
        <v>331</v>
      </c>
      <c r="R304">
        <v>1404.36</v>
      </c>
      <c r="T304">
        <v>1404.36</v>
      </c>
      <c r="U304" t="s">
        <v>40</v>
      </c>
    </row>
    <row r="305" spans="1:26" x14ac:dyDescent="0.25">
      <c r="A305">
        <f t="shared" ca="1" si="22"/>
        <v>0</v>
      </c>
      <c r="C305">
        <f t="shared" ca="1" si="23"/>
        <v>0</v>
      </c>
      <c r="D305" t="s">
        <v>196</v>
      </c>
      <c r="E305" t="s">
        <v>27</v>
      </c>
      <c r="F305">
        <v>373</v>
      </c>
      <c r="G305" t="s">
        <v>75</v>
      </c>
      <c r="H305" t="s">
        <v>758</v>
      </c>
      <c r="I305" t="s">
        <v>187</v>
      </c>
      <c r="J305" t="s">
        <v>196</v>
      </c>
      <c r="K305" t="s">
        <v>31</v>
      </c>
      <c r="L305" t="s">
        <v>759</v>
      </c>
      <c r="M305">
        <v>6000</v>
      </c>
      <c r="N305">
        <v>314</v>
      </c>
      <c r="O305">
        <v>5083042</v>
      </c>
      <c r="P305">
        <v>7111</v>
      </c>
      <c r="Q305" t="s">
        <v>754</v>
      </c>
      <c r="R305">
        <v>11593.68</v>
      </c>
      <c r="T305">
        <v>11593.68</v>
      </c>
      <c r="U305" t="s">
        <v>40</v>
      </c>
      <c r="V305" s="1">
        <v>46280</v>
      </c>
      <c r="W305" s="1">
        <v>46295</v>
      </c>
    </row>
    <row r="306" spans="1:26" x14ac:dyDescent="0.25">
      <c r="A306">
        <f t="shared" ca="1" si="22"/>
        <v>0</v>
      </c>
      <c r="C306">
        <f t="shared" ca="1" si="23"/>
        <v>0</v>
      </c>
      <c r="D306" t="s">
        <v>35</v>
      </c>
      <c r="E306" t="s">
        <v>27</v>
      </c>
      <c r="F306">
        <v>1246</v>
      </c>
      <c r="G306" t="s">
        <v>80</v>
      </c>
      <c r="H306" t="s">
        <v>760</v>
      </c>
      <c r="I306" t="s">
        <v>30</v>
      </c>
      <c r="J306" t="s">
        <v>35</v>
      </c>
      <c r="K306" t="s">
        <v>31</v>
      </c>
      <c r="L306" t="s">
        <v>761</v>
      </c>
      <c r="M306">
        <v>10000</v>
      </c>
      <c r="N306">
        <v>381</v>
      </c>
      <c r="O306">
        <v>5108169</v>
      </c>
      <c r="P306">
        <v>1701</v>
      </c>
      <c r="Q306" t="s">
        <v>459</v>
      </c>
      <c r="R306">
        <v>9460</v>
      </c>
      <c r="T306">
        <v>9460</v>
      </c>
      <c r="U306" t="s">
        <v>40</v>
      </c>
      <c r="V306" s="1">
        <v>46280</v>
      </c>
      <c r="W306" s="1">
        <v>46295</v>
      </c>
      <c r="X306" t="s">
        <v>762</v>
      </c>
    </row>
    <row r="307" spans="1:26" x14ac:dyDescent="0.25">
      <c r="A307">
        <f t="shared" ca="1" si="22"/>
        <v>0</v>
      </c>
      <c r="C307">
        <f t="shared" ca="1" si="23"/>
        <v>0</v>
      </c>
      <c r="D307" t="s">
        <v>26</v>
      </c>
      <c r="E307" t="s">
        <v>49</v>
      </c>
      <c r="F307">
        <v>1515</v>
      </c>
      <c r="G307" t="s">
        <v>726</v>
      </c>
      <c r="H307" t="s">
        <v>763</v>
      </c>
      <c r="I307" t="s">
        <v>30</v>
      </c>
      <c r="J307" t="s">
        <v>26</v>
      </c>
      <c r="K307" t="s">
        <v>326</v>
      </c>
      <c r="L307" t="s">
        <v>764</v>
      </c>
      <c r="M307">
        <v>3500</v>
      </c>
      <c r="N307">
        <v>632</v>
      </c>
      <c r="O307">
        <v>5037183</v>
      </c>
      <c r="P307">
        <v>6810</v>
      </c>
      <c r="Q307" t="s">
        <v>765</v>
      </c>
      <c r="R307">
        <v>2772</v>
      </c>
      <c r="S307">
        <v>2772</v>
      </c>
      <c r="T307">
        <v>0</v>
      </c>
      <c r="U307" t="s">
        <v>34</v>
      </c>
      <c r="V307" s="1">
        <v>46118</v>
      </c>
      <c r="W307" s="1">
        <v>46136</v>
      </c>
      <c r="Y307" t="s">
        <v>47</v>
      </c>
      <c r="Z307" s="1">
        <v>46108</v>
      </c>
    </row>
    <row r="308" spans="1:26" x14ac:dyDescent="0.25">
      <c r="A308">
        <f t="shared" ca="1" si="22"/>
        <v>0</v>
      </c>
      <c r="C308">
        <f t="shared" ca="1" si="23"/>
        <v>0</v>
      </c>
      <c r="D308" t="s">
        <v>35</v>
      </c>
      <c r="E308" t="s">
        <v>297</v>
      </c>
      <c r="F308">
        <v>1352</v>
      </c>
      <c r="G308" t="s">
        <v>359</v>
      </c>
      <c r="H308" t="s">
        <v>766</v>
      </c>
      <c r="I308" t="s">
        <v>30</v>
      </c>
      <c r="J308" t="s">
        <v>35</v>
      </c>
      <c r="K308" t="s">
        <v>300</v>
      </c>
      <c r="L308" t="s">
        <v>767</v>
      </c>
      <c r="M308">
        <v>4000</v>
      </c>
      <c r="N308">
        <v>507</v>
      </c>
      <c r="O308">
        <v>4547807</v>
      </c>
      <c r="P308">
        <v>2698</v>
      </c>
      <c r="Q308" t="s">
        <v>768</v>
      </c>
      <c r="R308">
        <v>4114.1000000000004</v>
      </c>
      <c r="S308">
        <v>4114.1000000000004</v>
      </c>
      <c r="U308" t="s">
        <v>34</v>
      </c>
    </row>
    <row r="309" spans="1:26" x14ac:dyDescent="0.25">
      <c r="A309">
        <f t="shared" ca="1" si="22"/>
        <v>0</v>
      </c>
      <c r="C309">
        <f t="shared" ca="1" si="23"/>
        <v>0</v>
      </c>
      <c r="D309" t="s">
        <v>35</v>
      </c>
      <c r="E309" t="s">
        <v>27</v>
      </c>
      <c r="F309">
        <v>533</v>
      </c>
      <c r="G309" t="s">
        <v>75</v>
      </c>
      <c r="H309" t="s">
        <v>769</v>
      </c>
      <c r="I309" t="s">
        <v>30</v>
      </c>
      <c r="J309" t="s">
        <v>35</v>
      </c>
      <c r="K309" t="s">
        <v>31</v>
      </c>
      <c r="L309" t="s">
        <v>770</v>
      </c>
      <c r="O309">
        <v>5068014</v>
      </c>
      <c r="P309">
        <v>3718</v>
      </c>
      <c r="Q309" t="s">
        <v>113</v>
      </c>
      <c r="R309">
        <v>6025.47</v>
      </c>
      <c r="S309">
        <v>6025.47</v>
      </c>
      <c r="T309">
        <v>0</v>
      </c>
      <c r="U309" t="s">
        <v>34</v>
      </c>
      <c r="V309" s="1">
        <v>46147</v>
      </c>
      <c r="W309" s="1">
        <v>46157</v>
      </c>
    </row>
    <row r="310" spans="1:26" x14ac:dyDescent="0.25">
      <c r="A310">
        <f t="shared" ca="1" si="22"/>
        <v>0</v>
      </c>
      <c r="C310">
        <f t="shared" ca="1" si="23"/>
        <v>0</v>
      </c>
      <c r="D310" t="s">
        <v>35</v>
      </c>
      <c r="E310" t="s">
        <v>245</v>
      </c>
      <c r="F310">
        <v>1306</v>
      </c>
      <c r="G310" t="s">
        <v>771</v>
      </c>
      <c r="H310" t="s">
        <v>772</v>
      </c>
      <c r="I310" t="s">
        <v>30</v>
      </c>
      <c r="J310" t="s">
        <v>35</v>
      </c>
      <c r="K310" t="s">
        <v>188</v>
      </c>
      <c r="L310" t="s">
        <v>773</v>
      </c>
      <c r="O310">
        <v>5073345</v>
      </c>
      <c r="P310">
        <v>6974</v>
      </c>
      <c r="Q310" t="s">
        <v>453</v>
      </c>
      <c r="R310">
        <v>2035</v>
      </c>
      <c r="S310">
        <v>2035</v>
      </c>
      <c r="T310">
        <v>0</v>
      </c>
      <c r="U310" t="s">
        <v>34</v>
      </c>
    </row>
    <row r="311" spans="1:26" x14ac:dyDescent="0.25">
      <c r="A311">
        <f t="shared" ca="1" si="22"/>
        <v>0</v>
      </c>
      <c r="C311">
        <f t="shared" ca="1" si="23"/>
        <v>0</v>
      </c>
      <c r="D311" t="s">
        <v>74</v>
      </c>
      <c r="E311" t="s">
        <v>64</v>
      </c>
      <c r="F311">
        <v>317</v>
      </c>
      <c r="G311" t="s">
        <v>311</v>
      </c>
      <c r="H311" t="s">
        <v>774</v>
      </c>
      <c r="I311" t="s">
        <v>30</v>
      </c>
      <c r="J311" t="s">
        <v>74</v>
      </c>
      <c r="K311" t="s">
        <v>67</v>
      </c>
      <c r="L311" t="s">
        <v>775</v>
      </c>
      <c r="M311">
        <v>20000</v>
      </c>
      <c r="N311">
        <v>143</v>
      </c>
      <c r="O311">
        <v>5070669</v>
      </c>
      <c r="P311">
        <v>261</v>
      </c>
      <c r="Q311" t="s">
        <v>776</v>
      </c>
      <c r="R311">
        <v>29040.62</v>
      </c>
      <c r="T311">
        <v>29040.62</v>
      </c>
      <c r="U311" t="s">
        <v>40</v>
      </c>
      <c r="V311" s="1">
        <v>46280</v>
      </c>
      <c r="W311" s="1">
        <v>46283</v>
      </c>
    </row>
    <row r="312" spans="1:26" x14ac:dyDescent="0.25">
      <c r="A312">
        <f t="shared" ca="1" si="22"/>
        <v>0</v>
      </c>
      <c r="C312">
        <f t="shared" ca="1" si="23"/>
        <v>0</v>
      </c>
      <c r="D312" t="s">
        <v>57</v>
      </c>
      <c r="E312" t="s">
        <v>627</v>
      </c>
      <c r="F312">
        <v>762</v>
      </c>
      <c r="G312" t="s">
        <v>628</v>
      </c>
      <c r="H312" t="s">
        <v>777</v>
      </c>
      <c r="I312" t="s">
        <v>44</v>
      </c>
      <c r="J312" t="s">
        <v>57</v>
      </c>
      <c r="K312" t="s">
        <v>188</v>
      </c>
      <c r="L312" t="s">
        <v>778</v>
      </c>
      <c r="M312">
        <v>25000</v>
      </c>
      <c r="N312">
        <v>743</v>
      </c>
      <c r="O312">
        <v>5081186</v>
      </c>
      <c r="P312">
        <v>39</v>
      </c>
      <c r="Q312" t="s">
        <v>779</v>
      </c>
      <c r="R312">
        <v>5868.19</v>
      </c>
      <c r="S312">
        <v>5868.19</v>
      </c>
      <c r="T312">
        <v>0</v>
      </c>
      <c r="U312" t="s">
        <v>34</v>
      </c>
      <c r="V312" s="1">
        <v>46223</v>
      </c>
      <c r="W312" s="1">
        <v>46228</v>
      </c>
    </row>
    <row r="313" spans="1:26" x14ac:dyDescent="0.25">
      <c r="A313">
        <f t="shared" ref="A313:A331" ca="1" si="24">+ Cmde</f>
        <v>0</v>
      </c>
      <c r="C313">
        <f t="shared" ref="C313:C331" ca="1" si="25">+ Devis</f>
        <v>0</v>
      </c>
      <c r="D313" t="s">
        <v>74</v>
      </c>
      <c r="E313" t="s">
        <v>64</v>
      </c>
      <c r="F313">
        <v>2028</v>
      </c>
      <c r="G313" t="s">
        <v>319</v>
      </c>
      <c r="H313" t="s">
        <v>780</v>
      </c>
      <c r="I313" t="s">
        <v>30</v>
      </c>
      <c r="J313" t="s">
        <v>74</v>
      </c>
      <c r="K313" t="s">
        <v>67</v>
      </c>
      <c r="L313" t="s">
        <v>781</v>
      </c>
      <c r="M313">
        <v>7000</v>
      </c>
      <c r="N313">
        <v>157</v>
      </c>
      <c r="O313">
        <v>5087188</v>
      </c>
      <c r="P313">
        <v>5556</v>
      </c>
      <c r="Q313" t="s">
        <v>782</v>
      </c>
      <c r="R313">
        <v>1291.4000000000001</v>
      </c>
      <c r="T313">
        <v>1291.4000000000001</v>
      </c>
      <c r="U313" t="s">
        <v>40</v>
      </c>
      <c r="V313" s="1">
        <v>46202</v>
      </c>
      <c r="W313" s="1">
        <v>46232</v>
      </c>
    </row>
    <row r="314" spans="1:26" x14ac:dyDescent="0.25">
      <c r="A314">
        <f t="shared" ca="1" si="24"/>
        <v>0</v>
      </c>
      <c r="C314">
        <f t="shared" ca="1" si="25"/>
        <v>0</v>
      </c>
      <c r="D314" t="s">
        <v>74</v>
      </c>
      <c r="E314" t="s">
        <v>64</v>
      </c>
      <c r="F314">
        <v>2028</v>
      </c>
      <c r="G314" t="s">
        <v>319</v>
      </c>
      <c r="H314" t="s">
        <v>780</v>
      </c>
      <c r="I314" t="s">
        <v>30</v>
      </c>
      <c r="J314" t="s">
        <v>74</v>
      </c>
      <c r="K314" t="s">
        <v>67</v>
      </c>
      <c r="L314" t="s">
        <v>783</v>
      </c>
      <c r="M314">
        <v>7000</v>
      </c>
      <c r="N314">
        <v>157</v>
      </c>
      <c r="O314">
        <v>5087193</v>
      </c>
      <c r="P314">
        <v>5556</v>
      </c>
      <c r="Q314" t="s">
        <v>782</v>
      </c>
      <c r="R314">
        <v>714.34</v>
      </c>
      <c r="S314">
        <v>714.34</v>
      </c>
      <c r="T314">
        <v>0</v>
      </c>
      <c r="U314" t="s">
        <v>34</v>
      </c>
      <c r="V314" s="1">
        <v>46198</v>
      </c>
      <c r="W314" s="1">
        <v>46232</v>
      </c>
    </row>
    <row r="315" spans="1:26" x14ac:dyDescent="0.25">
      <c r="A315">
        <f t="shared" ca="1" si="24"/>
        <v>0</v>
      </c>
      <c r="C315">
        <f t="shared" ca="1" si="25"/>
        <v>0</v>
      </c>
      <c r="D315" t="s">
        <v>74</v>
      </c>
      <c r="E315" t="s">
        <v>64</v>
      </c>
      <c r="F315">
        <v>2028</v>
      </c>
      <c r="G315" t="s">
        <v>319</v>
      </c>
      <c r="H315" t="s">
        <v>780</v>
      </c>
      <c r="I315" t="s">
        <v>30</v>
      </c>
      <c r="J315" t="s">
        <v>74</v>
      </c>
      <c r="K315" t="s">
        <v>67</v>
      </c>
      <c r="L315" t="s">
        <v>781</v>
      </c>
      <c r="M315">
        <v>7000</v>
      </c>
      <c r="N315">
        <v>157</v>
      </c>
      <c r="O315">
        <v>5087201</v>
      </c>
      <c r="P315">
        <v>5556</v>
      </c>
      <c r="Q315" t="s">
        <v>782</v>
      </c>
      <c r="R315">
        <v>1077.1199999999999</v>
      </c>
      <c r="T315">
        <v>1077.1199999999999</v>
      </c>
      <c r="U315" t="s">
        <v>40</v>
      </c>
      <c r="V315" s="1">
        <v>46195</v>
      </c>
      <c r="W315" s="1">
        <v>46218</v>
      </c>
    </row>
    <row r="316" spans="1:26" x14ac:dyDescent="0.25">
      <c r="A316">
        <f t="shared" ca="1" si="24"/>
        <v>0</v>
      </c>
      <c r="C316">
        <f t="shared" ca="1" si="25"/>
        <v>0</v>
      </c>
      <c r="D316" t="s">
        <v>74</v>
      </c>
      <c r="E316" t="s">
        <v>64</v>
      </c>
      <c r="F316">
        <v>2028</v>
      </c>
      <c r="G316" t="s">
        <v>319</v>
      </c>
      <c r="H316" t="s">
        <v>780</v>
      </c>
      <c r="I316" t="s">
        <v>30</v>
      </c>
      <c r="J316" t="s">
        <v>74</v>
      </c>
      <c r="K316" t="s">
        <v>67</v>
      </c>
      <c r="L316" t="s">
        <v>783</v>
      </c>
      <c r="M316">
        <v>7000</v>
      </c>
      <c r="N316">
        <v>157</v>
      </c>
      <c r="O316">
        <v>5087207</v>
      </c>
      <c r="P316">
        <v>5556</v>
      </c>
      <c r="Q316" t="s">
        <v>782</v>
      </c>
      <c r="R316">
        <v>3321.21</v>
      </c>
      <c r="S316">
        <v>3321.21</v>
      </c>
      <c r="T316">
        <v>0</v>
      </c>
      <c r="U316" t="s">
        <v>34</v>
      </c>
      <c r="V316" s="1">
        <v>46202</v>
      </c>
      <c r="W316" s="1">
        <v>46232</v>
      </c>
    </row>
    <row r="317" spans="1:26" x14ac:dyDescent="0.25">
      <c r="A317">
        <f t="shared" ca="1" si="24"/>
        <v>0</v>
      </c>
      <c r="C317">
        <f t="shared" ca="1" si="25"/>
        <v>0</v>
      </c>
      <c r="D317" t="s">
        <v>57</v>
      </c>
      <c r="E317" t="s">
        <v>49</v>
      </c>
      <c r="F317">
        <v>1642</v>
      </c>
      <c r="G317" t="s">
        <v>263</v>
      </c>
      <c r="H317" t="s">
        <v>677</v>
      </c>
      <c r="I317" t="s">
        <v>44</v>
      </c>
      <c r="J317" t="s">
        <v>57</v>
      </c>
      <c r="K317" t="s">
        <v>326</v>
      </c>
      <c r="L317" t="s">
        <v>784</v>
      </c>
      <c r="M317">
        <v>8000</v>
      </c>
      <c r="N317">
        <v>615</v>
      </c>
      <c r="O317">
        <v>5042020</v>
      </c>
      <c r="P317">
        <v>3278</v>
      </c>
      <c r="Q317" t="s">
        <v>785</v>
      </c>
      <c r="R317">
        <v>8348.1200000000008</v>
      </c>
      <c r="T317">
        <v>8348.1200000000008</v>
      </c>
      <c r="U317" t="s">
        <v>40</v>
      </c>
      <c r="V317" s="1">
        <v>46118</v>
      </c>
      <c r="W317" s="1">
        <v>46199</v>
      </c>
      <c r="Y317" t="s">
        <v>47</v>
      </c>
      <c r="Z317" s="1">
        <v>46137</v>
      </c>
    </row>
    <row r="318" spans="1:26" x14ac:dyDescent="0.25">
      <c r="A318">
        <f t="shared" ca="1" si="24"/>
        <v>0</v>
      </c>
      <c r="C318">
        <f t="shared" ca="1" si="25"/>
        <v>0</v>
      </c>
      <c r="D318" t="s">
        <v>41</v>
      </c>
      <c r="E318" t="s">
        <v>49</v>
      </c>
      <c r="F318">
        <v>1777</v>
      </c>
      <c r="G318" t="s">
        <v>263</v>
      </c>
      <c r="H318" t="s">
        <v>698</v>
      </c>
      <c r="I318" t="s">
        <v>44</v>
      </c>
      <c r="J318" t="s">
        <v>41</v>
      </c>
      <c r="K318" t="s">
        <v>326</v>
      </c>
      <c r="L318" t="s">
        <v>786</v>
      </c>
      <c r="M318">
        <v>9000</v>
      </c>
      <c r="N318">
        <v>616</v>
      </c>
      <c r="O318">
        <v>5011807</v>
      </c>
      <c r="P318">
        <v>4921</v>
      </c>
      <c r="Q318" t="s">
        <v>94</v>
      </c>
      <c r="R318">
        <v>7950.79</v>
      </c>
      <c r="S318">
        <v>7950.79</v>
      </c>
      <c r="T318">
        <v>0</v>
      </c>
      <c r="U318" t="s">
        <v>34</v>
      </c>
      <c r="V318" s="1">
        <v>46048</v>
      </c>
      <c r="W318" s="1">
        <v>46080</v>
      </c>
    </row>
    <row r="319" spans="1:26" x14ac:dyDescent="0.25">
      <c r="A319">
        <f t="shared" ca="1" si="24"/>
        <v>0</v>
      </c>
      <c r="C319">
        <f t="shared" ca="1" si="25"/>
        <v>0</v>
      </c>
      <c r="D319" t="s">
        <v>41</v>
      </c>
      <c r="E319" t="s">
        <v>49</v>
      </c>
      <c r="F319">
        <v>1770</v>
      </c>
      <c r="G319" t="s">
        <v>50</v>
      </c>
      <c r="H319" t="s">
        <v>787</v>
      </c>
      <c r="I319" t="s">
        <v>44</v>
      </c>
      <c r="J319" t="s">
        <v>41</v>
      </c>
      <c r="K319" t="s">
        <v>326</v>
      </c>
      <c r="L319" t="s">
        <v>786</v>
      </c>
      <c r="M319">
        <v>9000</v>
      </c>
      <c r="N319">
        <v>617</v>
      </c>
      <c r="O319">
        <v>5015287</v>
      </c>
      <c r="P319">
        <v>5978</v>
      </c>
      <c r="Q319" t="s">
        <v>54</v>
      </c>
      <c r="R319">
        <v>8977.5</v>
      </c>
      <c r="T319">
        <v>8977.5</v>
      </c>
      <c r="U319" t="s">
        <v>40</v>
      </c>
      <c r="V319" s="1">
        <v>46083</v>
      </c>
      <c r="W319" s="1">
        <v>46136</v>
      </c>
    </row>
    <row r="320" spans="1:26" x14ac:dyDescent="0.25">
      <c r="A320">
        <f t="shared" ca="1" si="24"/>
        <v>0</v>
      </c>
      <c r="C320">
        <f t="shared" ca="1" si="25"/>
        <v>0</v>
      </c>
      <c r="D320" t="s">
        <v>41</v>
      </c>
      <c r="E320" t="s">
        <v>49</v>
      </c>
      <c r="F320">
        <v>1643</v>
      </c>
      <c r="G320" t="s">
        <v>231</v>
      </c>
      <c r="H320" t="s">
        <v>788</v>
      </c>
      <c r="I320" t="s">
        <v>44</v>
      </c>
      <c r="J320" t="s">
        <v>41</v>
      </c>
      <c r="K320" t="s">
        <v>326</v>
      </c>
      <c r="L320" t="s">
        <v>789</v>
      </c>
      <c r="M320">
        <v>12000</v>
      </c>
      <c r="N320">
        <v>618</v>
      </c>
      <c r="O320">
        <v>5015299</v>
      </c>
      <c r="P320">
        <v>5978</v>
      </c>
      <c r="Q320" t="s">
        <v>54</v>
      </c>
      <c r="R320">
        <v>11620.1</v>
      </c>
      <c r="S320">
        <v>11620.1</v>
      </c>
      <c r="T320">
        <v>0</v>
      </c>
      <c r="U320" t="s">
        <v>34</v>
      </c>
      <c r="V320" s="1">
        <v>46083</v>
      </c>
      <c r="W320" s="1">
        <v>46136</v>
      </c>
    </row>
    <row r="321" spans="1:26" x14ac:dyDescent="0.25">
      <c r="A321">
        <f t="shared" ca="1" si="24"/>
        <v>0</v>
      </c>
      <c r="C321">
        <f t="shared" ca="1" si="25"/>
        <v>0</v>
      </c>
      <c r="D321" t="s">
        <v>41</v>
      </c>
      <c r="E321" t="s">
        <v>49</v>
      </c>
      <c r="F321">
        <v>1643</v>
      </c>
      <c r="G321" t="s">
        <v>231</v>
      </c>
      <c r="H321" t="s">
        <v>790</v>
      </c>
      <c r="I321" t="s">
        <v>44</v>
      </c>
      <c r="J321" t="s">
        <v>41</v>
      </c>
      <c r="K321" t="s">
        <v>326</v>
      </c>
      <c r="L321" t="s">
        <v>789</v>
      </c>
      <c r="M321">
        <v>7000</v>
      </c>
      <c r="N321">
        <v>619</v>
      </c>
      <c r="X321" t="s">
        <v>791</v>
      </c>
    </row>
    <row r="322" spans="1:26" x14ac:dyDescent="0.25">
      <c r="A322">
        <f t="shared" ca="1" si="24"/>
        <v>0</v>
      </c>
      <c r="C322">
        <f t="shared" ca="1" si="25"/>
        <v>0</v>
      </c>
      <c r="D322" t="s">
        <v>41</v>
      </c>
      <c r="E322" t="s">
        <v>49</v>
      </c>
      <c r="F322">
        <v>1672</v>
      </c>
      <c r="G322" t="s">
        <v>50</v>
      </c>
      <c r="H322" t="s">
        <v>792</v>
      </c>
      <c r="I322" t="s">
        <v>44</v>
      </c>
      <c r="J322" t="s">
        <v>41</v>
      </c>
      <c r="K322" t="s">
        <v>326</v>
      </c>
      <c r="L322" t="s">
        <v>728</v>
      </c>
      <c r="M322">
        <v>12500</v>
      </c>
      <c r="N322">
        <v>620</v>
      </c>
      <c r="O322">
        <v>5014987</v>
      </c>
      <c r="P322">
        <v>4921</v>
      </c>
      <c r="Q322" t="s">
        <v>94</v>
      </c>
      <c r="R322">
        <v>17445.41</v>
      </c>
      <c r="T322">
        <v>17445.41</v>
      </c>
      <c r="U322" t="s">
        <v>40</v>
      </c>
      <c r="V322" s="1">
        <v>46055</v>
      </c>
      <c r="W322" s="1">
        <v>46080</v>
      </c>
    </row>
    <row r="323" spans="1:26" x14ac:dyDescent="0.25">
      <c r="A323">
        <f t="shared" ca="1" si="24"/>
        <v>0</v>
      </c>
      <c r="C323">
        <f t="shared" ca="1" si="25"/>
        <v>0</v>
      </c>
      <c r="D323" t="s">
        <v>41</v>
      </c>
      <c r="E323" t="s">
        <v>49</v>
      </c>
      <c r="F323">
        <v>1695</v>
      </c>
      <c r="G323" t="s">
        <v>670</v>
      </c>
      <c r="H323" t="s">
        <v>793</v>
      </c>
      <c r="I323" t="s">
        <v>44</v>
      </c>
      <c r="J323" t="s">
        <v>41</v>
      </c>
      <c r="K323" t="s">
        <v>326</v>
      </c>
      <c r="L323" t="s">
        <v>794</v>
      </c>
      <c r="M323">
        <v>12500</v>
      </c>
      <c r="N323">
        <v>621</v>
      </c>
      <c r="O323">
        <v>5018809</v>
      </c>
      <c r="P323">
        <v>4921</v>
      </c>
      <c r="Q323" t="s">
        <v>94</v>
      </c>
      <c r="R323">
        <v>7224.47</v>
      </c>
      <c r="T323">
        <v>7224.47</v>
      </c>
      <c r="U323" t="s">
        <v>40</v>
      </c>
      <c r="V323" s="1">
        <v>46069</v>
      </c>
      <c r="W323" s="1">
        <v>46129</v>
      </c>
    </row>
    <row r="324" spans="1:26" x14ac:dyDescent="0.25">
      <c r="A324">
        <f t="shared" ca="1" si="24"/>
        <v>0</v>
      </c>
      <c r="C324">
        <f t="shared" ca="1" si="25"/>
        <v>0</v>
      </c>
      <c r="D324" t="s">
        <v>41</v>
      </c>
      <c r="E324" t="s">
        <v>49</v>
      </c>
      <c r="F324">
        <v>1524</v>
      </c>
      <c r="G324" t="s">
        <v>670</v>
      </c>
      <c r="H324" t="s">
        <v>795</v>
      </c>
      <c r="I324" t="s">
        <v>44</v>
      </c>
      <c r="J324" t="s">
        <v>41</v>
      </c>
      <c r="K324" t="s">
        <v>326</v>
      </c>
      <c r="L324" t="s">
        <v>786</v>
      </c>
      <c r="M324">
        <v>12000</v>
      </c>
      <c r="N324">
        <v>622</v>
      </c>
      <c r="O324">
        <v>5059870</v>
      </c>
      <c r="P324">
        <v>4921</v>
      </c>
      <c r="Q324" t="s">
        <v>94</v>
      </c>
      <c r="R324">
        <v>13184.89</v>
      </c>
      <c r="T324">
        <v>13184.89</v>
      </c>
      <c r="U324" t="s">
        <v>40</v>
      </c>
      <c r="V324" s="1">
        <v>46139</v>
      </c>
      <c r="W324" s="1">
        <v>46171</v>
      </c>
    </row>
    <row r="325" spans="1:26" x14ac:dyDescent="0.25">
      <c r="A325">
        <f t="shared" ca="1" si="24"/>
        <v>0</v>
      </c>
      <c r="C325">
        <f t="shared" ca="1" si="25"/>
        <v>0</v>
      </c>
      <c r="D325" t="s">
        <v>57</v>
      </c>
      <c r="E325" t="s">
        <v>49</v>
      </c>
      <c r="F325">
        <v>1643</v>
      </c>
      <c r="G325" t="s">
        <v>231</v>
      </c>
      <c r="H325" t="s">
        <v>796</v>
      </c>
      <c r="I325" t="s">
        <v>44</v>
      </c>
      <c r="J325" t="s">
        <v>57</v>
      </c>
      <c r="K325" t="s">
        <v>326</v>
      </c>
      <c r="L325" t="s">
        <v>797</v>
      </c>
      <c r="M325">
        <v>11500</v>
      </c>
      <c r="N325">
        <v>623</v>
      </c>
      <c r="O325">
        <v>5019413</v>
      </c>
      <c r="P325">
        <v>166</v>
      </c>
      <c r="Q325" t="s">
        <v>681</v>
      </c>
      <c r="R325">
        <v>9672.32</v>
      </c>
      <c r="T325">
        <v>9672.32</v>
      </c>
      <c r="U325" t="s">
        <v>40</v>
      </c>
      <c r="V325" s="1">
        <v>46083</v>
      </c>
      <c r="W325" s="1">
        <v>46227</v>
      </c>
    </row>
    <row r="326" spans="1:26" x14ac:dyDescent="0.25">
      <c r="A326">
        <f t="shared" ca="1" si="24"/>
        <v>0</v>
      </c>
      <c r="C326">
        <f t="shared" ca="1" si="25"/>
        <v>0</v>
      </c>
      <c r="D326" t="s">
        <v>236</v>
      </c>
      <c r="E326" t="s">
        <v>49</v>
      </c>
      <c r="F326">
        <v>1761</v>
      </c>
      <c r="G326" t="s">
        <v>726</v>
      </c>
      <c r="H326" t="s">
        <v>798</v>
      </c>
      <c r="I326" t="s">
        <v>44</v>
      </c>
      <c r="J326" t="s">
        <v>236</v>
      </c>
      <c r="K326" t="s">
        <v>326</v>
      </c>
      <c r="L326" t="s">
        <v>799</v>
      </c>
      <c r="M326">
        <v>15500</v>
      </c>
      <c r="N326">
        <v>624</v>
      </c>
      <c r="O326">
        <v>5011772</v>
      </c>
      <c r="P326">
        <v>6455</v>
      </c>
      <c r="Q326" t="s">
        <v>39</v>
      </c>
      <c r="R326">
        <v>16908.55</v>
      </c>
      <c r="S326">
        <v>16908.55</v>
      </c>
      <c r="T326">
        <v>0</v>
      </c>
      <c r="U326" t="s">
        <v>34</v>
      </c>
      <c r="V326" s="1">
        <v>46055</v>
      </c>
      <c r="W326" s="1">
        <v>46101</v>
      </c>
      <c r="Y326" t="s">
        <v>47</v>
      </c>
      <c r="Z326" s="1">
        <v>46048</v>
      </c>
    </row>
    <row r="327" spans="1:26" x14ac:dyDescent="0.25">
      <c r="A327">
        <f t="shared" ca="1" si="24"/>
        <v>0</v>
      </c>
      <c r="C327">
        <f t="shared" ca="1" si="25"/>
        <v>0</v>
      </c>
      <c r="D327" t="s">
        <v>95</v>
      </c>
      <c r="E327" t="s">
        <v>49</v>
      </c>
      <c r="F327">
        <v>1743</v>
      </c>
      <c r="G327" t="s">
        <v>50</v>
      </c>
      <c r="H327" t="s">
        <v>800</v>
      </c>
      <c r="I327" t="s">
        <v>30</v>
      </c>
      <c r="J327" t="s">
        <v>95</v>
      </c>
      <c r="K327" t="s">
        <v>326</v>
      </c>
      <c r="L327" t="s">
        <v>801</v>
      </c>
      <c r="M327">
        <v>5000</v>
      </c>
      <c r="N327">
        <v>626</v>
      </c>
      <c r="O327">
        <v>5018146</v>
      </c>
      <c r="P327">
        <v>6455</v>
      </c>
      <c r="Q327" t="s">
        <v>39</v>
      </c>
      <c r="R327">
        <v>3222.7</v>
      </c>
      <c r="S327">
        <v>3222.7</v>
      </c>
      <c r="T327">
        <v>0</v>
      </c>
      <c r="U327" t="s">
        <v>34</v>
      </c>
      <c r="V327" s="1">
        <v>46055</v>
      </c>
      <c r="W327" s="1">
        <v>46094</v>
      </c>
    </row>
    <row r="328" spans="1:26" x14ac:dyDescent="0.25">
      <c r="A328">
        <f t="shared" ca="1" si="24"/>
        <v>0</v>
      </c>
      <c r="C328">
        <f t="shared" ca="1" si="25"/>
        <v>0</v>
      </c>
      <c r="D328" t="s">
        <v>26</v>
      </c>
      <c r="E328" t="s">
        <v>49</v>
      </c>
      <c r="F328">
        <v>892</v>
      </c>
      <c r="G328" t="s">
        <v>689</v>
      </c>
      <c r="H328" t="s">
        <v>701</v>
      </c>
      <c r="I328" t="s">
        <v>30</v>
      </c>
      <c r="J328" t="s">
        <v>26</v>
      </c>
      <c r="K328" t="s">
        <v>326</v>
      </c>
      <c r="L328" t="s">
        <v>802</v>
      </c>
      <c r="M328">
        <v>7000</v>
      </c>
      <c r="N328">
        <v>627</v>
      </c>
      <c r="O328">
        <v>5022842</v>
      </c>
      <c r="P328">
        <v>81</v>
      </c>
      <c r="Q328" t="s">
        <v>102</v>
      </c>
      <c r="R328">
        <v>3554.61</v>
      </c>
      <c r="S328">
        <v>3554.61</v>
      </c>
      <c r="T328">
        <v>0</v>
      </c>
      <c r="U328" t="s">
        <v>34</v>
      </c>
      <c r="V328" s="1">
        <v>46090</v>
      </c>
      <c r="W328" s="1">
        <v>46136</v>
      </c>
    </row>
    <row r="329" spans="1:26" x14ac:dyDescent="0.25">
      <c r="A329">
        <f t="shared" ca="1" si="24"/>
        <v>0</v>
      </c>
      <c r="C329">
        <f t="shared" ca="1" si="25"/>
        <v>0</v>
      </c>
      <c r="D329" t="s">
        <v>26</v>
      </c>
      <c r="E329" t="s">
        <v>49</v>
      </c>
      <c r="F329">
        <v>892</v>
      </c>
      <c r="G329" t="s">
        <v>689</v>
      </c>
      <c r="H329" t="s">
        <v>701</v>
      </c>
      <c r="I329" t="s">
        <v>30</v>
      </c>
      <c r="J329" t="s">
        <v>26</v>
      </c>
      <c r="K329" t="s">
        <v>326</v>
      </c>
      <c r="L329" t="s">
        <v>717</v>
      </c>
      <c r="M329">
        <v>4500</v>
      </c>
      <c r="N329">
        <v>628</v>
      </c>
      <c r="O329">
        <v>5011685</v>
      </c>
      <c r="P329">
        <v>81</v>
      </c>
      <c r="Q329" t="s">
        <v>102</v>
      </c>
      <c r="R329">
        <v>3728.8</v>
      </c>
      <c r="S329">
        <v>3728.8</v>
      </c>
      <c r="T329">
        <v>0</v>
      </c>
      <c r="U329" t="s">
        <v>34</v>
      </c>
      <c r="V329" s="1">
        <v>46097</v>
      </c>
      <c r="W329" s="1">
        <v>46115</v>
      </c>
    </row>
    <row r="330" spans="1:26" x14ac:dyDescent="0.25">
      <c r="A330">
        <f t="shared" ca="1" si="24"/>
        <v>0</v>
      </c>
      <c r="C330">
        <f t="shared" ca="1" si="25"/>
        <v>0</v>
      </c>
      <c r="D330" t="s">
        <v>35</v>
      </c>
      <c r="E330" t="s">
        <v>49</v>
      </c>
      <c r="F330">
        <v>1235</v>
      </c>
      <c r="G330" t="s">
        <v>689</v>
      </c>
      <c r="H330" t="s">
        <v>803</v>
      </c>
      <c r="I330" t="s">
        <v>30</v>
      </c>
      <c r="J330" t="s">
        <v>35</v>
      </c>
      <c r="K330" t="s">
        <v>326</v>
      </c>
      <c r="L330" t="s">
        <v>804</v>
      </c>
      <c r="M330">
        <v>6000</v>
      </c>
      <c r="N330">
        <v>629</v>
      </c>
      <c r="O330">
        <v>5009175</v>
      </c>
      <c r="P330">
        <v>17125</v>
      </c>
      <c r="Q330" t="s">
        <v>721</v>
      </c>
      <c r="R330">
        <v>5152.6499999999996</v>
      </c>
      <c r="S330">
        <v>5152.6499999999996</v>
      </c>
      <c r="T330">
        <v>0</v>
      </c>
      <c r="U330" t="s">
        <v>34</v>
      </c>
      <c r="V330" s="1">
        <v>46027</v>
      </c>
      <c r="W330" s="1">
        <v>46052</v>
      </c>
    </row>
    <row r="331" spans="1:26" x14ac:dyDescent="0.25">
      <c r="A331">
        <f t="shared" ca="1" si="24"/>
        <v>0</v>
      </c>
      <c r="C331">
        <f t="shared" ca="1" si="25"/>
        <v>0</v>
      </c>
      <c r="D331" t="s">
        <v>236</v>
      </c>
      <c r="E331" t="s">
        <v>49</v>
      </c>
      <c r="F331">
        <v>1241</v>
      </c>
      <c r="G331" t="s">
        <v>231</v>
      </c>
      <c r="H331" t="s">
        <v>662</v>
      </c>
      <c r="I331" t="s">
        <v>30</v>
      </c>
      <c r="J331" t="s">
        <v>236</v>
      </c>
      <c r="K331" t="s">
        <v>326</v>
      </c>
      <c r="L331" t="s">
        <v>805</v>
      </c>
      <c r="M331">
        <v>3000</v>
      </c>
      <c r="N331">
        <v>630</v>
      </c>
      <c r="X331" t="s">
        <v>806</v>
      </c>
    </row>
    <row r="332" spans="1:26" x14ac:dyDescent="0.25">
      <c r="A332" t="s">
        <v>807</v>
      </c>
    </row>
    <row r="333" spans="1:26" x14ac:dyDescent="0.25">
      <c r="A333">
        <f t="shared" ref="A333:A338" ca="1" si="26">+ Cmde</f>
        <v>0</v>
      </c>
      <c r="C333">
        <f t="shared" ref="C333:C338" ca="1" si="27">+ Devis</f>
        <v>0</v>
      </c>
      <c r="D333" t="s">
        <v>35</v>
      </c>
      <c r="E333" t="s">
        <v>49</v>
      </c>
      <c r="F333">
        <v>1749</v>
      </c>
      <c r="G333" t="s">
        <v>50</v>
      </c>
      <c r="H333" t="s">
        <v>808</v>
      </c>
      <c r="I333" t="s">
        <v>30</v>
      </c>
      <c r="J333" t="s">
        <v>35</v>
      </c>
      <c r="K333" t="s">
        <v>326</v>
      </c>
      <c r="L333" t="s">
        <v>809</v>
      </c>
      <c r="M333">
        <v>3000</v>
      </c>
      <c r="N333">
        <v>631</v>
      </c>
      <c r="X333" t="s">
        <v>810</v>
      </c>
    </row>
    <row r="334" spans="1:26" x14ac:dyDescent="0.25">
      <c r="A334">
        <f t="shared" ca="1" si="26"/>
        <v>0</v>
      </c>
      <c r="C334">
        <f t="shared" ca="1" si="27"/>
        <v>0</v>
      </c>
      <c r="D334" t="s">
        <v>26</v>
      </c>
      <c r="E334" t="s">
        <v>49</v>
      </c>
      <c r="F334">
        <v>1696</v>
      </c>
      <c r="G334" t="s">
        <v>670</v>
      </c>
      <c r="H334" t="s">
        <v>811</v>
      </c>
      <c r="I334" t="s">
        <v>30</v>
      </c>
      <c r="J334" t="s">
        <v>26</v>
      </c>
      <c r="K334" t="s">
        <v>326</v>
      </c>
      <c r="L334" t="s">
        <v>812</v>
      </c>
      <c r="M334">
        <v>3500</v>
      </c>
      <c r="N334">
        <v>633</v>
      </c>
      <c r="O334">
        <v>5009284</v>
      </c>
      <c r="P334">
        <v>81</v>
      </c>
      <c r="Q334" t="s">
        <v>102</v>
      </c>
      <c r="R334">
        <v>4866.8599999999997</v>
      </c>
      <c r="S334">
        <v>4866.8599999999997</v>
      </c>
      <c r="T334">
        <v>0</v>
      </c>
      <c r="U334" t="s">
        <v>34</v>
      </c>
      <c r="V334" s="1">
        <v>46076</v>
      </c>
      <c r="W334" s="1">
        <v>46108</v>
      </c>
    </row>
    <row r="335" spans="1:26" x14ac:dyDescent="0.25">
      <c r="A335">
        <f t="shared" ca="1" si="26"/>
        <v>0</v>
      </c>
      <c r="C335">
        <f t="shared" ca="1" si="27"/>
        <v>0</v>
      </c>
      <c r="D335" t="s">
        <v>368</v>
      </c>
      <c r="E335" t="s">
        <v>49</v>
      </c>
      <c r="F335">
        <v>1761</v>
      </c>
      <c r="G335" t="s">
        <v>726</v>
      </c>
      <c r="H335" t="s">
        <v>813</v>
      </c>
      <c r="I335" t="s">
        <v>30</v>
      </c>
      <c r="J335" t="s">
        <v>368</v>
      </c>
      <c r="K335" t="s">
        <v>326</v>
      </c>
      <c r="L335" t="s">
        <v>814</v>
      </c>
      <c r="M335">
        <v>3500</v>
      </c>
      <c r="N335">
        <v>634</v>
      </c>
      <c r="O335">
        <v>5016118</v>
      </c>
      <c r="P335">
        <v>17125</v>
      </c>
      <c r="Q335" t="s">
        <v>721</v>
      </c>
      <c r="R335">
        <v>1242.26</v>
      </c>
      <c r="S335">
        <v>1242.26</v>
      </c>
      <c r="T335">
        <v>0</v>
      </c>
      <c r="U335" t="s">
        <v>34</v>
      </c>
      <c r="V335" s="1">
        <v>46048</v>
      </c>
      <c r="W335" s="1">
        <v>46080</v>
      </c>
      <c r="Y335" t="s">
        <v>676</v>
      </c>
      <c r="Z335" s="1">
        <v>46031</v>
      </c>
    </row>
    <row r="336" spans="1:26" x14ac:dyDescent="0.25">
      <c r="A336">
        <f t="shared" ca="1" si="26"/>
        <v>0</v>
      </c>
      <c r="C336">
        <f t="shared" ca="1" si="27"/>
        <v>0</v>
      </c>
      <c r="D336" t="s">
        <v>26</v>
      </c>
      <c r="E336" t="s">
        <v>49</v>
      </c>
      <c r="F336">
        <v>1574</v>
      </c>
      <c r="G336" t="s">
        <v>689</v>
      </c>
      <c r="H336" t="s">
        <v>815</v>
      </c>
      <c r="I336" t="s">
        <v>30</v>
      </c>
      <c r="J336" t="s">
        <v>26</v>
      </c>
      <c r="K336" t="s">
        <v>326</v>
      </c>
      <c r="L336" t="s">
        <v>816</v>
      </c>
      <c r="M336">
        <v>4000</v>
      </c>
      <c r="N336">
        <v>636</v>
      </c>
      <c r="O336">
        <v>5036714</v>
      </c>
      <c r="P336">
        <v>6810</v>
      </c>
      <c r="Q336" t="s">
        <v>765</v>
      </c>
      <c r="R336">
        <v>3625.78</v>
      </c>
      <c r="T336">
        <v>3625.78</v>
      </c>
      <c r="U336" t="s">
        <v>40</v>
      </c>
      <c r="V336" s="1">
        <v>46125</v>
      </c>
      <c r="W336" s="1">
        <v>46157</v>
      </c>
      <c r="Y336" t="s">
        <v>47</v>
      </c>
      <c r="Z336" s="1">
        <v>46107</v>
      </c>
    </row>
    <row r="337" spans="1:26" x14ac:dyDescent="0.25">
      <c r="A337">
        <f t="shared" ca="1" si="26"/>
        <v>0</v>
      </c>
      <c r="C337">
        <f t="shared" ca="1" si="27"/>
        <v>0</v>
      </c>
      <c r="D337" t="s">
        <v>35</v>
      </c>
      <c r="E337" t="s">
        <v>49</v>
      </c>
      <c r="F337">
        <v>1579</v>
      </c>
      <c r="G337" t="s">
        <v>231</v>
      </c>
      <c r="H337" t="s">
        <v>817</v>
      </c>
      <c r="I337" t="s">
        <v>30</v>
      </c>
      <c r="J337" t="s">
        <v>35</v>
      </c>
      <c r="K337" t="s">
        <v>326</v>
      </c>
      <c r="L337" t="s">
        <v>818</v>
      </c>
      <c r="M337">
        <v>4500</v>
      </c>
      <c r="N337">
        <v>637</v>
      </c>
      <c r="O337">
        <v>5014035</v>
      </c>
      <c r="P337">
        <v>1868</v>
      </c>
      <c r="Q337" t="s">
        <v>706</v>
      </c>
      <c r="R337">
        <v>1463</v>
      </c>
      <c r="S337">
        <v>1463</v>
      </c>
      <c r="T337">
        <v>0</v>
      </c>
      <c r="U337" t="s">
        <v>34</v>
      </c>
      <c r="V337" s="1">
        <v>46041</v>
      </c>
      <c r="W337" s="1">
        <v>46073</v>
      </c>
    </row>
    <row r="338" spans="1:26" x14ac:dyDescent="0.25">
      <c r="A338">
        <f t="shared" ca="1" si="26"/>
        <v>0</v>
      </c>
      <c r="C338">
        <f t="shared" ca="1" si="27"/>
        <v>0</v>
      </c>
      <c r="D338" t="s">
        <v>26</v>
      </c>
      <c r="E338" t="s">
        <v>49</v>
      </c>
      <c r="F338">
        <v>1547</v>
      </c>
      <c r="G338" t="s">
        <v>231</v>
      </c>
      <c r="H338" t="s">
        <v>819</v>
      </c>
      <c r="I338" t="s">
        <v>30</v>
      </c>
      <c r="J338" t="s">
        <v>26</v>
      </c>
      <c r="K338" t="s">
        <v>326</v>
      </c>
      <c r="L338" t="s">
        <v>820</v>
      </c>
      <c r="M338">
        <v>6000</v>
      </c>
      <c r="N338">
        <v>639</v>
      </c>
      <c r="O338">
        <v>5105491</v>
      </c>
      <c r="P338">
        <v>81</v>
      </c>
      <c r="Q338" t="s">
        <v>102</v>
      </c>
      <c r="R338">
        <v>6439.25</v>
      </c>
      <c r="T338">
        <v>6439.25</v>
      </c>
      <c r="U338" t="s">
        <v>40</v>
      </c>
      <c r="V338" s="1">
        <v>46279</v>
      </c>
      <c r="W338" s="1">
        <v>46325</v>
      </c>
      <c r="X338" t="s">
        <v>821</v>
      </c>
    </row>
    <row r="340" spans="1:26" x14ac:dyDescent="0.25">
      <c r="A340">
        <f t="shared" ref="A340:A355" ca="1" si="28">+ Cmde</f>
        <v>0</v>
      </c>
      <c r="C340">
        <f t="shared" ref="C340:C355" ca="1" si="29">+ Devis</f>
        <v>0</v>
      </c>
      <c r="D340" t="s">
        <v>35</v>
      </c>
      <c r="E340" t="s">
        <v>49</v>
      </c>
      <c r="F340">
        <v>1572</v>
      </c>
      <c r="G340" t="s">
        <v>689</v>
      </c>
      <c r="H340" t="s">
        <v>722</v>
      </c>
      <c r="I340" t="s">
        <v>30</v>
      </c>
      <c r="J340" t="s">
        <v>35</v>
      </c>
      <c r="K340" t="s">
        <v>326</v>
      </c>
      <c r="L340" t="s">
        <v>822</v>
      </c>
      <c r="M340">
        <v>6000</v>
      </c>
      <c r="N340">
        <v>640</v>
      </c>
      <c r="O340">
        <v>5019459</v>
      </c>
      <c r="P340">
        <v>12363</v>
      </c>
      <c r="Q340" t="s">
        <v>823</v>
      </c>
      <c r="R340">
        <v>4664</v>
      </c>
      <c r="S340">
        <v>2942.72</v>
      </c>
      <c r="T340">
        <v>1721.28</v>
      </c>
      <c r="U340" t="s">
        <v>34</v>
      </c>
      <c r="V340" s="1">
        <v>46041</v>
      </c>
      <c r="W340" s="1">
        <v>46043</v>
      </c>
    </row>
    <row r="341" spans="1:26" x14ac:dyDescent="0.25">
      <c r="A341">
        <f t="shared" ca="1" si="28"/>
        <v>0</v>
      </c>
      <c r="C341">
        <f t="shared" ca="1" si="29"/>
        <v>0</v>
      </c>
      <c r="D341" t="s">
        <v>368</v>
      </c>
      <c r="E341" t="s">
        <v>49</v>
      </c>
      <c r="F341">
        <v>1237</v>
      </c>
      <c r="G341" t="s">
        <v>726</v>
      </c>
      <c r="H341" t="s">
        <v>824</v>
      </c>
      <c r="I341" t="s">
        <v>30</v>
      </c>
      <c r="J341" t="s">
        <v>368</v>
      </c>
      <c r="K341" t="s">
        <v>326</v>
      </c>
      <c r="L341" t="s">
        <v>825</v>
      </c>
      <c r="M341">
        <v>8000</v>
      </c>
      <c r="N341">
        <v>641</v>
      </c>
      <c r="O341">
        <v>5018793</v>
      </c>
      <c r="P341">
        <v>17125</v>
      </c>
      <c r="Q341" t="s">
        <v>721</v>
      </c>
      <c r="R341">
        <v>11371.89</v>
      </c>
      <c r="S341">
        <v>3411.56</v>
      </c>
      <c r="T341">
        <v>7960.33</v>
      </c>
      <c r="U341" t="s">
        <v>40</v>
      </c>
      <c r="V341" s="1">
        <v>46062</v>
      </c>
      <c r="W341" s="1">
        <v>46115</v>
      </c>
      <c r="Y341" t="s">
        <v>676</v>
      </c>
      <c r="Z341" s="1">
        <v>46048</v>
      </c>
    </row>
    <row r="342" spans="1:26" x14ac:dyDescent="0.25">
      <c r="A342">
        <f t="shared" ca="1" si="28"/>
        <v>0</v>
      </c>
      <c r="C342">
        <f t="shared" ca="1" si="29"/>
        <v>0</v>
      </c>
      <c r="D342" t="s">
        <v>26</v>
      </c>
      <c r="E342" t="s">
        <v>49</v>
      </c>
      <c r="F342">
        <v>1761</v>
      </c>
      <c r="G342" t="s">
        <v>726</v>
      </c>
      <c r="H342" t="s">
        <v>798</v>
      </c>
      <c r="I342" t="s">
        <v>30</v>
      </c>
      <c r="J342" t="s">
        <v>26</v>
      </c>
      <c r="K342" t="s">
        <v>326</v>
      </c>
      <c r="L342" t="s">
        <v>802</v>
      </c>
      <c r="M342">
        <v>8000</v>
      </c>
      <c r="N342">
        <v>642</v>
      </c>
      <c r="X342" t="s">
        <v>175</v>
      </c>
    </row>
    <row r="343" spans="1:26" x14ac:dyDescent="0.25">
      <c r="A343">
        <f t="shared" ca="1" si="28"/>
        <v>0</v>
      </c>
      <c r="C343">
        <f t="shared" ca="1" si="29"/>
        <v>0</v>
      </c>
      <c r="D343" t="s">
        <v>355</v>
      </c>
      <c r="E343" t="s">
        <v>49</v>
      </c>
      <c r="F343">
        <v>1800</v>
      </c>
      <c r="G343" t="s">
        <v>231</v>
      </c>
      <c r="H343" t="s">
        <v>826</v>
      </c>
      <c r="I343" t="s">
        <v>30</v>
      </c>
      <c r="J343" t="s">
        <v>355</v>
      </c>
      <c r="K343" t="s">
        <v>326</v>
      </c>
      <c r="L343" t="s">
        <v>827</v>
      </c>
      <c r="M343">
        <v>8000</v>
      </c>
      <c r="N343">
        <v>643</v>
      </c>
      <c r="O343">
        <v>5040853</v>
      </c>
      <c r="P343">
        <v>8199</v>
      </c>
      <c r="Q343" t="s">
        <v>828</v>
      </c>
      <c r="R343">
        <v>3060</v>
      </c>
      <c r="S343">
        <v>3060</v>
      </c>
      <c r="T343">
        <v>0</v>
      </c>
      <c r="U343" t="s">
        <v>34</v>
      </c>
      <c r="V343" s="1">
        <v>46097</v>
      </c>
      <c r="W343" s="1">
        <v>46108</v>
      </c>
    </row>
    <row r="344" spans="1:26" x14ac:dyDescent="0.25">
      <c r="A344">
        <f t="shared" ca="1" si="28"/>
        <v>0</v>
      </c>
      <c r="C344">
        <f t="shared" ca="1" si="29"/>
        <v>0</v>
      </c>
      <c r="D344" t="s">
        <v>88</v>
      </c>
      <c r="E344" t="s">
        <v>49</v>
      </c>
      <c r="F344">
        <v>1492</v>
      </c>
      <c r="G344" t="s">
        <v>670</v>
      </c>
      <c r="H344" t="s">
        <v>829</v>
      </c>
      <c r="I344" t="s">
        <v>30</v>
      </c>
      <c r="J344" t="s">
        <v>88</v>
      </c>
      <c r="K344" t="s">
        <v>326</v>
      </c>
      <c r="L344" t="s">
        <v>830</v>
      </c>
      <c r="M344">
        <v>8000</v>
      </c>
      <c r="N344">
        <v>644</v>
      </c>
      <c r="P344">
        <v>27250</v>
      </c>
      <c r="Q344" t="s">
        <v>831</v>
      </c>
      <c r="R344">
        <v>773.74</v>
      </c>
      <c r="S344">
        <v>773.74</v>
      </c>
      <c r="T344">
        <v>0</v>
      </c>
      <c r="U344" t="s">
        <v>34</v>
      </c>
      <c r="X344" t="s">
        <v>832</v>
      </c>
    </row>
    <row r="345" spans="1:26" x14ac:dyDescent="0.25">
      <c r="A345">
        <f t="shared" ca="1" si="28"/>
        <v>0</v>
      </c>
      <c r="C345">
        <f t="shared" ca="1" si="29"/>
        <v>0</v>
      </c>
      <c r="D345" t="s">
        <v>74</v>
      </c>
      <c r="E345" t="s">
        <v>49</v>
      </c>
      <c r="F345">
        <v>1580</v>
      </c>
      <c r="G345" t="s">
        <v>263</v>
      </c>
      <c r="H345" t="s">
        <v>833</v>
      </c>
      <c r="I345" t="s">
        <v>30</v>
      </c>
      <c r="J345" t="s">
        <v>74</v>
      </c>
      <c r="K345" t="s">
        <v>326</v>
      </c>
      <c r="L345" t="s">
        <v>834</v>
      </c>
      <c r="M345">
        <v>9500</v>
      </c>
      <c r="N345">
        <v>645</v>
      </c>
      <c r="O345">
        <v>5038575</v>
      </c>
      <c r="P345">
        <v>4921</v>
      </c>
      <c r="Q345" t="s">
        <v>94</v>
      </c>
      <c r="R345">
        <v>7687.7</v>
      </c>
      <c r="T345">
        <v>7687.7</v>
      </c>
      <c r="U345" t="s">
        <v>40</v>
      </c>
      <c r="V345" s="1">
        <v>46118</v>
      </c>
      <c r="W345" s="1">
        <v>46136</v>
      </c>
    </row>
    <row r="346" spans="1:26" x14ac:dyDescent="0.25">
      <c r="A346">
        <f t="shared" ca="1" si="28"/>
        <v>0</v>
      </c>
      <c r="C346">
        <f t="shared" ca="1" si="29"/>
        <v>0</v>
      </c>
      <c r="D346" t="s">
        <v>26</v>
      </c>
      <c r="E346" t="s">
        <v>49</v>
      </c>
      <c r="F346">
        <v>1523</v>
      </c>
      <c r="G346" t="s">
        <v>670</v>
      </c>
      <c r="H346" t="s">
        <v>835</v>
      </c>
      <c r="I346" t="s">
        <v>30</v>
      </c>
      <c r="J346" t="s">
        <v>26</v>
      </c>
      <c r="K346" t="s">
        <v>326</v>
      </c>
      <c r="L346" t="s">
        <v>836</v>
      </c>
      <c r="M346">
        <v>12000</v>
      </c>
      <c r="N346">
        <v>646</v>
      </c>
      <c r="O346">
        <v>5016265</v>
      </c>
      <c r="P346">
        <v>81</v>
      </c>
      <c r="Q346" t="s">
        <v>102</v>
      </c>
      <c r="R346">
        <v>4656.96</v>
      </c>
      <c r="S346">
        <v>4656.96</v>
      </c>
      <c r="T346">
        <v>0</v>
      </c>
      <c r="U346" t="s">
        <v>34</v>
      </c>
      <c r="V346" s="1">
        <v>46083</v>
      </c>
      <c r="W346" s="1">
        <v>46136</v>
      </c>
    </row>
    <row r="347" spans="1:26" x14ac:dyDescent="0.25">
      <c r="A347">
        <f t="shared" ca="1" si="28"/>
        <v>0</v>
      </c>
      <c r="C347">
        <f t="shared" ca="1" si="29"/>
        <v>0</v>
      </c>
      <c r="D347" t="s">
        <v>95</v>
      </c>
      <c r="E347" t="s">
        <v>49</v>
      </c>
      <c r="F347">
        <v>1528</v>
      </c>
      <c r="G347" t="s">
        <v>670</v>
      </c>
      <c r="H347" t="s">
        <v>837</v>
      </c>
      <c r="I347" t="s">
        <v>30</v>
      </c>
      <c r="J347" t="s">
        <v>95</v>
      </c>
      <c r="K347" t="s">
        <v>326</v>
      </c>
      <c r="L347" t="s">
        <v>838</v>
      </c>
      <c r="M347">
        <v>12000</v>
      </c>
      <c r="N347">
        <v>647</v>
      </c>
      <c r="O347">
        <v>5011715</v>
      </c>
      <c r="P347">
        <v>6455</v>
      </c>
      <c r="Q347" t="s">
        <v>39</v>
      </c>
      <c r="R347">
        <v>13166.21</v>
      </c>
      <c r="S347">
        <v>13166.21</v>
      </c>
      <c r="T347">
        <v>0</v>
      </c>
      <c r="U347" t="s">
        <v>34</v>
      </c>
      <c r="V347" s="1">
        <v>46041</v>
      </c>
      <c r="W347" s="1">
        <v>46080</v>
      </c>
    </row>
    <row r="348" spans="1:26" x14ac:dyDescent="0.25">
      <c r="A348">
        <f t="shared" ca="1" si="28"/>
        <v>0</v>
      </c>
      <c r="C348">
        <f t="shared" ca="1" si="29"/>
        <v>0</v>
      </c>
      <c r="D348" t="s">
        <v>26</v>
      </c>
      <c r="E348" t="s">
        <v>49</v>
      </c>
      <c r="F348">
        <v>1600</v>
      </c>
      <c r="G348" t="s">
        <v>231</v>
      </c>
      <c r="H348" t="s">
        <v>839</v>
      </c>
      <c r="I348" t="s">
        <v>30</v>
      </c>
      <c r="J348" t="s">
        <v>26</v>
      </c>
      <c r="K348" t="s">
        <v>326</v>
      </c>
      <c r="L348" t="s">
        <v>840</v>
      </c>
      <c r="M348">
        <v>12000</v>
      </c>
      <c r="N348">
        <v>648</v>
      </c>
      <c r="O348">
        <v>5011738</v>
      </c>
      <c r="P348">
        <v>505</v>
      </c>
      <c r="Q348" t="s">
        <v>438</v>
      </c>
      <c r="R348">
        <v>14646.64</v>
      </c>
      <c r="S348">
        <v>14646.64</v>
      </c>
      <c r="T348">
        <v>0</v>
      </c>
      <c r="U348" t="s">
        <v>34</v>
      </c>
      <c r="V348" s="1">
        <v>46097</v>
      </c>
      <c r="W348" s="1">
        <v>46129</v>
      </c>
    </row>
    <row r="349" spans="1:26" x14ac:dyDescent="0.25">
      <c r="A349">
        <f t="shared" ca="1" si="28"/>
        <v>0</v>
      </c>
      <c r="C349">
        <f t="shared" ca="1" si="29"/>
        <v>0</v>
      </c>
      <c r="D349" t="s">
        <v>35</v>
      </c>
      <c r="E349" t="s">
        <v>49</v>
      </c>
      <c r="F349">
        <v>1571</v>
      </c>
      <c r="G349" t="s">
        <v>670</v>
      </c>
      <c r="H349" t="s">
        <v>841</v>
      </c>
      <c r="I349" t="s">
        <v>30</v>
      </c>
      <c r="J349" t="s">
        <v>35</v>
      </c>
      <c r="K349" t="s">
        <v>326</v>
      </c>
      <c r="L349" t="s">
        <v>842</v>
      </c>
      <c r="M349">
        <v>15000</v>
      </c>
      <c r="N349">
        <v>649</v>
      </c>
      <c r="O349">
        <v>5078490</v>
      </c>
      <c r="P349">
        <v>4082</v>
      </c>
      <c r="Q349" t="s">
        <v>843</v>
      </c>
      <c r="R349">
        <v>16435.47</v>
      </c>
      <c r="T349">
        <v>16435.47</v>
      </c>
      <c r="U349" t="s">
        <v>40</v>
      </c>
      <c r="V349" s="1">
        <v>46188</v>
      </c>
      <c r="W349" s="1">
        <v>46241</v>
      </c>
    </row>
    <row r="350" spans="1:26" x14ac:dyDescent="0.25">
      <c r="A350">
        <f t="shared" ca="1" si="28"/>
        <v>0</v>
      </c>
      <c r="C350">
        <f t="shared" ca="1" si="29"/>
        <v>0</v>
      </c>
      <c r="D350" t="s">
        <v>355</v>
      </c>
      <c r="E350" t="s">
        <v>49</v>
      </c>
      <c r="F350">
        <v>1682</v>
      </c>
      <c r="G350" t="s">
        <v>50</v>
      </c>
      <c r="H350" t="s">
        <v>844</v>
      </c>
      <c r="I350" t="s">
        <v>30</v>
      </c>
      <c r="J350" t="s">
        <v>355</v>
      </c>
      <c r="K350" t="s">
        <v>326</v>
      </c>
      <c r="L350" t="s">
        <v>845</v>
      </c>
      <c r="M350">
        <v>17000</v>
      </c>
      <c r="N350">
        <v>650</v>
      </c>
      <c r="O350">
        <v>5072572</v>
      </c>
      <c r="P350">
        <v>1701</v>
      </c>
      <c r="Q350" t="s">
        <v>459</v>
      </c>
      <c r="R350">
        <v>3785.1</v>
      </c>
      <c r="S350">
        <v>3785.1</v>
      </c>
      <c r="T350">
        <v>0</v>
      </c>
      <c r="U350" t="s">
        <v>34</v>
      </c>
      <c r="V350" s="1">
        <v>46160</v>
      </c>
      <c r="W350" s="1">
        <v>46199</v>
      </c>
    </row>
    <row r="351" spans="1:26" x14ac:dyDescent="0.25">
      <c r="A351">
        <f t="shared" ca="1" si="28"/>
        <v>0</v>
      </c>
      <c r="C351">
        <f t="shared" ca="1" si="29"/>
        <v>0</v>
      </c>
      <c r="D351" t="s">
        <v>74</v>
      </c>
      <c r="E351" t="s">
        <v>49</v>
      </c>
      <c r="F351">
        <v>1760</v>
      </c>
      <c r="G351" t="s">
        <v>263</v>
      </c>
      <c r="H351" t="s">
        <v>846</v>
      </c>
      <c r="I351" t="s">
        <v>30</v>
      </c>
      <c r="J351" t="s">
        <v>74</v>
      </c>
      <c r="K351" t="s">
        <v>326</v>
      </c>
      <c r="L351" t="s">
        <v>847</v>
      </c>
      <c r="M351">
        <v>28000</v>
      </c>
      <c r="N351">
        <v>653</v>
      </c>
      <c r="X351" t="s">
        <v>848</v>
      </c>
    </row>
    <row r="352" spans="1:26" x14ac:dyDescent="0.25">
      <c r="A352">
        <f t="shared" ca="1" si="28"/>
        <v>0</v>
      </c>
      <c r="C352">
        <f t="shared" ca="1" si="29"/>
        <v>0</v>
      </c>
      <c r="D352" t="s">
        <v>221</v>
      </c>
      <c r="E352" t="s">
        <v>49</v>
      </c>
      <c r="F352">
        <v>891</v>
      </c>
      <c r="G352" t="s">
        <v>228</v>
      </c>
      <c r="H352" t="s">
        <v>849</v>
      </c>
      <c r="I352" t="s">
        <v>187</v>
      </c>
      <c r="J352" t="s">
        <v>221</v>
      </c>
      <c r="K352" t="s">
        <v>52</v>
      </c>
      <c r="L352" t="s">
        <v>850</v>
      </c>
      <c r="M352">
        <v>6000</v>
      </c>
      <c r="N352">
        <v>655</v>
      </c>
      <c r="O352">
        <v>5014785</v>
      </c>
      <c r="P352">
        <v>7508</v>
      </c>
      <c r="Q352" t="s">
        <v>675</v>
      </c>
      <c r="R352">
        <v>6643.5</v>
      </c>
      <c r="S352">
        <v>6643.5</v>
      </c>
      <c r="T352">
        <v>0</v>
      </c>
      <c r="U352" t="s">
        <v>34</v>
      </c>
      <c r="V352" s="1">
        <v>46119</v>
      </c>
      <c r="W352" s="1">
        <v>46149</v>
      </c>
    </row>
    <row r="353" spans="1:26" x14ac:dyDescent="0.25">
      <c r="A353">
        <f t="shared" ca="1" si="28"/>
        <v>0</v>
      </c>
      <c r="C353">
        <f t="shared" ca="1" si="29"/>
        <v>0</v>
      </c>
      <c r="D353" t="s">
        <v>221</v>
      </c>
      <c r="E353" t="s">
        <v>49</v>
      </c>
      <c r="F353">
        <v>1554</v>
      </c>
      <c r="G353" t="s">
        <v>263</v>
      </c>
      <c r="H353" t="s">
        <v>851</v>
      </c>
      <c r="I353" t="s">
        <v>187</v>
      </c>
      <c r="J353" t="s">
        <v>221</v>
      </c>
      <c r="K353" t="s">
        <v>52</v>
      </c>
      <c r="L353" t="s">
        <v>852</v>
      </c>
      <c r="M353">
        <v>11000</v>
      </c>
      <c r="N353">
        <v>658</v>
      </c>
      <c r="O353">
        <v>5010606</v>
      </c>
      <c r="P353">
        <v>4061</v>
      </c>
      <c r="Q353" t="s">
        <v>310</v>
      </c>
      <c r="R353">
        <v>9058.7999999999993</v>
      </c>
      <c r="S353">
        <v>9058.7999999999993</v>
      </c>
      <c r="T353">
        <v>0</v>
      </c>
      <c r="U353" t="s">
        <v>34</v>
      </c>
      <c r="V353" s="1">
        <v>46083</v>
      </c>
      <c r="W353" s="1">
        <v>46087</v>
      </c>
      <c r="X353" t="s">
        <v>853</v>
      </c>
    </row>
    <row r="354" spans="1:26" x14ac:dyDescent="0.25">
      <c r="A354">
        <f t="shared" ca="1" si="28"/>
        <v>0</v>
      </c>
      <c r="C354">
        <f t="shared" ca="1" si="29"/>
        <v>0</v>
      </c>
      <c r="D354" t="s">
        <v>285</v>
      </c>
      <c r="E354" t="s">
        <v>49</v>
      </c>
      <c r="F354">
        <v>1557</v>
      </c>
      <c r="G354" t="s">
        <v>263</v>
      </c>
      <c r="H354" t="s">
        <v>854</v>
      </c>
      <c r="I354" t="s">
        <v>187</v>
      </c>
      <c r="J354" t="s">
        <v>285</v>
      </c>
      <c r="K354" t="s">
        <v>52</v>
      </c>
      <c r="L354" t="s">
        <v>855</v>
      </c>
      <c r="M354">
        <v>5000</v>
      </c>
      <c r="N354">
        <v>659</v>
      </c>
      <c r="O354">
        <v>5032830</v>
      </c>
      <c r="P354">
        <v>3501</v>
      </c>
      <c r="Q354" t="s">
        <v>666</v>
      </c>
      <c r="R354">
        <v>4180</v>
      </c>
      <c r="S354">
        <v>4180</v>
      </c>
      <c r="T354">
        <v>0</v>
      </c>
      <c r="U354" t="s">
        <v>34</v>
      </c>
      <c r="V354" s="1">
        <v>46092</v>
      </c>
      <c r="W354" s="1">
        <v>46092</v>
      </c>
    </row>
    <row r="355" spans="1:26" x14ac:dyDescent="0.25">
      <c r="A355">
        <f t="shared" ca="1" si="28"/>
        <v>0</v>
      </c>
      <c r="C355">
        <f t="shared" ca="1" si="29"/>
        <v>0</v>
      </c>
      <c r="D355" t="s">
        <v>285</v>
      </c>
      <c r="E355" t="s">
        <v>49</v>
      </c>
      <c r="F355">
        <v>1565</v>
      </c>
      <c r="G355" t="s">
        <v>228</v>
      </c>
      <c r="H355" t="s">
        <v>856</v>
      </c>
      <c r="I355" t="s">
        <v>187</v>
      </c>
      <c r="J355" t="s">
        <v>285</v>
      </c>
      <c r="K355" t="s">
        <v>52</v>
      </c>
      <c r="L355" t="s">
        <v>857</v>
      </c>
      <c r="M355">
        <v>10000</v>
      </c>
      <c r="N355">
        <v>661</v>
      </c>
      <c r="O355">
        <v>5023232</v>
      </c>
      <c r="P355">
        <v>7669</v>
      </c>
      <c r="Q355" t="s">
        <v>261</v>
      </c>
      <c r="R355">
        <v>8437</v>
      </c>
      <c r="T355">
        <v>8437</v>
      </c>
      <c r="U355" t="s">
        <v>34</v>
      </c>
      <c r="V355" s="1">
        <v>46216</v>
      </c>
      <c r="W355" s="1">
        <v>46234</v>
      </c>
      <c r="X355" t="s">
        <v>56</v>
      </c>
    </row>
    <row r="356" spans="1:26" x14ac:dyDescent="0.25">
      <c r="A356" t="s">
        <v>858</v>
      </c>
    </row>
    <row r="357" spans="1:26" x14ac:dyDescent="0.25">
      <c r="A357">
        <f t="shared" ref="A357:A372" ca="1" si="30">+ Cmde</f>
        <v>0</v>
      </c>
      <c r="C357">
        <f t="shared" ref="C357:C372" ca="1" si="31">+ Devis</f>
        <v>0</v>
      </c>
      <c r="D357" t="s">
        <v>183</v>
      </c>
      <c r="E357" t="s">
        <v>49</v>
      </c>
      <c r="F357">
        <v>1641</v>
      </c>
      <c r="G357" t="s">
        <v>263</v>
      </c>
      <c r="H357" t="s">
        <v>859</v>
      </c>
      <c r="I357" t="s">
        <v>187</v>
      </c>
      <c r="J357" t="s">
        <v>183</v>
      </c>
      <c r="K357" t="s">
        <v>52</v>
      </c>
      <c r="L357" t="s">
        <v>860</v>
      </c>
      <c r="M357">
        <v>3500</v>
      </c>
      <c r="N357">
        <v>663</v>
      </c>
      <c r="O357">
        <v>5033138</v>
      </c>
      <c r="P357">
        <v>3501</v>
      </c>
      <c r="Q357" t="s">
        <v>666</v>
      </c>
      <c r="R357">
        <v>2145</v>
      </c>
      <c r="S357">
        <v>2145</v>
      </c>
      <c r="T357">
        <v>0</v>
      </c>
      <c r="U357" t="s">
        <v>34</v>
      </c>
      <c r="V357" s="1">
        <v>46093</v>
      </c>
      <c r="W357" s="1">
        <v>46093</v>
      </c>
    </row>
    <row r="358" spans="1:26" x14ac:dyDescent="0.25">
      <c r="A358">
        <f t="shared" ca="1" si="30"/>
        <v>0</v>
      </c>
      <c r="C358">
        <f t="shared" ca="1" si="31"/>
        <v>0</v>
      </c>
      <c r="D358" t="s">
        <v>196</v>
      </c>
      <c r="E358" t="s">
        <v>49</v>
      </c>
      <c r="F358">
        <v>1816</v>
      </c>
      <c r="G358" t="s">
        <v>726</v>
      </c>
      <c r="H358" t="s">
        <v>861</v>
      </c>
      <c r="I358" t="s">
        <v>187</v>
      </c>
      <c r="J358" t="s">
        <v>196</v>
      </c>
      <c r="K358" t="s">
        <v>52</v>
      </c>
      <c r="L358" t="s">
        <v>862</v>
      </c>
      <c r="M358">
        <v>4500</v>
      </c>
      <c r="N358">
        <v>664</v>
      </c>
      <c r="O358">
        <v>5025432</v>
      </c>
      <c r="P358">
        <v>3501</v>
      </c>
      <c r="Q358" t="s">
        <v>666</v>
      </c>
      <c r="R358">
        <v>2910.67</v>
      </c>
      <c r="S358">
        <v>2910.67</v>
      </c>
      <c r="T358">
        <v>0</v>
      </c>
      <c r="U358" t="s">
        <v>34</v>
      </c>
      <c r="V358" s="1">
        <v>46072</v>
      </c>
      <c r="W358" s="1">
        <v>46076</v>
      </c>
      <c r="Y358" t="s">
        <v>676</v>
      </c>
      <c r="Z358" s="1">
        <v>46065</v>
      </c>
    </row>
    <row r="359" spans="1:26" x14ac:dyDescent="0.25">
      <c r="A359">
        <f t="shared" ca="1" si="30"/>
        <v>0</v>
      </c>
      <c r="C359">
        <f t="shared" ca="1" si="31"/>
        <v>0</v>
      </c>
      <c r="D359" t="s">
        <v>196</v>
      </c>
      <c r="E359" t="s">
        <v>49</v>
      </c>
      <c r="F359">
        <v>1839</v>
      </c>
      <c r="G359" t="s">
        <v>726</v>
      </c>
      <c r="H359" t="s">
        <v>863</v>
      </c>
      <c r="I359" t="s">
        <v>187</v>
      </c>
      <c r="J359" t="s">
        <v>196</v>
      </c>
      <c r="K359" t="s">
        <v>52</v>
      </c>
      <c r="L359" t="s">
        <v>862</v>
      </c>
      <c r="M359">
        <v>6000</v>
      </c>
      <c r="N359">
        <v>665</v>
      </c>
      <c r="O359">
        <v>5025440</v>
      </c>
      <c r="P359">
        <v>3501</v>
      </c>
      <c r="Q359" t="s">
        <v>666</v>
      </c>
      <c r="R359">
        <v>7109.89</v>
      </c>
      <c r="S359">
        <v>7109.89</v>
      </c>
      <c r="T359">
        <v>0</v>
      </c>
      <c r="U359" t="s">
        <v>34</v>
      </c>
      <c r="V359" s="1">
        <v>46072</v>
      </c>
      <c r="W359" s="1">
        <v>46076</v>
      </c>
      <c r="Y359" t="s">
        <v>676</v>
      </c>
      <c r="Z359" s="1">
        <v>46065</v>
      </c>
    </row>
    <row r="360" spans="1:26" x14ac:dyDescent="0.25">
      <c r="A360">
        <f t="shared" ca="1" si="30"/>
        <v>0</v>
      </c>
      <c r="C360">
        <f t="shared" ca="1" si="31"/>
        <v>0</v>
      </c>
      <c r="D360" t="s">
        <v>221</v>
      </c>
      <c r="E360" t="s">
        <v>49</v>
      </c>
      <c r="F360">
        <v>2070</v>
      </c>
      <c r="G360" t="s">
        <v>726</v>
      </c>
      <c r="H360" t="s">
        <v>864</v>
      </c>
      <c r="I360" t="s">
        <v>187</v>
      </c>
      <c r="J360" t="s">
        <v>221</v>
      </c>
      <c r="K360" t="s">
        <v>52</v>
      </c>
      <c r="L360" t="s">
        <v>865</v>
      </c>
      <c r="M360">
        <v>3500</v>
      </c>
      <c r="N360">
        <v>666</v>
      </c>
      <c r="O360">
        <v>5014300</v>
      </c>
      <c r="P360">
        <v>19582</v>
      </c>
      <c r="Q360" t="s">
        <v>866</v>
      </c>
      <c r="R360">
        <v>2710.4</v>
      </c>
      <c r="S360">
        <v>2710.4</v>
      </c>
      <c r="T360">
        <v>0</v>
      </c>
      <c r="U360" t="s">
        <v>34</v>
      </c>
      <c r="V360" s="1">
        <v>46030</v>
      </c>
      <c r="W360" s="1">
        <v>46031</v>
      </c>
      <c r="X360" t="s">
        <v>853</v>
      </c>
      <c r="Y360" t="s">
        <v>47</v>
      </c>
      <c r="Z360" s="1">
        <v>46029</v>
      </c>
    </row>
    <row r="361" spans="1:26" x14ac:dyDescent="0.25">
      <c r="A361">
        <f t="shared" ca="1" si="30"/>
        <v>0</v>
      </c>
      <c r="C361">
        <f t="shared" ca="1" si="31"/>
        <v>0</v>
      </c>
      <c r="D361" t="s">
        <v>196</v>
      </c>
      <c r="E361" t="s">
        <v>49</v>
      </c>
      <c r="F361">
        <v>2099</v>
      </c>
      <c r="G361" t="s">
        <v>670</v>
      </c>
      <c r="H361" t="s">
        <v>867</v>
      </c>
      <c r="I361" t="s">
        <v>187</v>
      </c>
      <c r="J361" t="s">
        <v>196</v>
      </c>
      <c r="K361" t="s">
        <v>52</v>
      </c>
      <c r="L361" t="s">
        <v>868</v>
      </c>
      <c r="M361">
        <v>5000</v>
      </c>
      <c r="N361">
        <v>667</v>
      </c>
      <c r="X361" t="s">
        <v>869</v>
      </c>
    </row>
    <row r="362" spans="1:26" x14ac:dyDescent="0.25">
      <c r="A362">
        <f t="shared" ca="1" si="30"/>
        <v>0</v>
      </c>
      <c r="C362">
        <f t="shared" ca="1" si="31"/>
        <v>0</v>
      </c>
      <c r="D362" t="s">
        <v>26</v>
      </c>
      <c r="E362" t="s">
        <v>64</v>
      </c>
      <c r="F362">
        <v>179</v>
      </c>
      <c r="G362" t="s">
        <v>65</v>
      </c>
      <c r="H362" t="s">
        <v>66</v>
      </c>
      <c r="I362" t="s">
        <v>30</v>
      </c>
      <c r="J362" t="s">
        <v>26</v>
      </c>
      <c r="K362" t="s">
        <v>67</v>
      </c>
      <c r="L362" t="s">
        <v>870</v>
      </c>
      <c r="M362">
        <v>5000</v>
      </c>
      <c r="N362">
        <v>147</v>
      </c>
      <c r="O362">
        <v>5039447</v>
      </c>
      <c r="P362">
        <v>4551</v>
      </c>
      <c r="Q362" t="s">
        <v>461</v>
      </c>
      <c r="R362">
        <v>730.07</v>
      </c>
      <c r="S362">
        <v>730.07</v>
      </c>
      <c r="T362">
        <v>0</v>
      </c>
      <c r="U362" t="s">
        <v>34</v>
      </c>
      <c r="V362" s="1">
        <v>46080</v>
      </c>
      <c r="W362" s="1">
        <v>46096</v>
      </c>
    </row>
    <row r="363" spans="1:26" x14ac:dyDescent="0.25">
      <c r="A363">
        <f t="shared" ca="1" si="30"/>
        <v>0</v>
      </c>
      <c r="C363">
        <f t="shared" ca="1" si="31"/>
        <v>0</v>
      </c>
      <c r="D363" t="s">
        <v>285</v>
      </c>
      <c r="E363" t="s">
        <v>27</v>
      </c>
      <c r="F363">
        <v>338</v>
      </c>
      <c r="G363" t="s">
        <v>36</v>
      </c>
      <c r="H363" t="s">
        <v>871</v>
      </c>
      <c r="I363" t="s">
        <v>187</v>
      </c>
      <c r="J363" t="s">
        <v>285</v>
      </c>
      <c r="K363" t="s">
        <v>31</v>
      </c>
      <c r="L363" t="s">
        <v>872</v>
      </c>
      <c r="M363">
        <v>6000</v>
      </c>
      <c r="N363">
        <v>308</v>
      </c>
      <c r="X363" t="s">
        <v>873</v>
      </c>
    </row>
    <row r="364" spans="1:26" x14ac:dyDescent="0.25">
      <c r="A364">
        <f t="shared" ca="1" si="30"/>
        <v>0</v>
      </c>
      <c r="C364">
        <f t="shared" ca="1" si="31"/>
        <v>0</v>
      </c>
      <c r="D364" t="s">
        <v>79</v>
      </c>
      <c r="E364" t="s">
        <v>27</v>
      </c>
      <c r="F364">
        <v>1246</v>
      </c>
      <c r="G364" t="s">
        <v>80</v>
      </c>
      <c r="H364" t="s">
        <v>81</v>
      </c>
      <c r="I364" t="s">
        <v>30</v>
      </c>
      <c r="J364" t="s">
        <v>79</v>
      </c>
      <c r="K364" t="s">
        <v>31</v>
      </c>
      <c r="L364" t="s">
        <v>82</v>
      </c>
      <c r="M364">
        <v>8000</v>
      </c>
      <c r="N364">
        <v>395</v>
      </c>
      <c r="O364">
        <v>5051423</v>
      </c>
      <c r="P364">
        <v>6787</v>
      </c>
      <c r="Q364" t="s">
        <v>33</v>
      </c>
      <c r="R364">
        <v>1746.09</v>
      </c>
      <c r="S364">
        <v>1746.09</v>
      </c>
      <c r="T364">
        <v>0</v>
      </c>
      <c r="U364" t="s">
        <v>34</v>
      </c>
      <c r="V364" s="1">
        <v>46105</v>
      </c>
      <c r="W364" s="1">
        <v>46106</v>
      </c>
    </row>
    <row r="365" spans="1:26" x14ac:dyDescent="0.25">
      <c r="A365">
        <f t="shared" ca="1" si="30"/>
        <v>0</v>
      </c>
      <c r="C365">
        <f t="shared" ca="1" si="31"/>
        <v>0</v>
      </c>
      <c r="D365" t="s">
        <v>26</v>
      </c>
      <c r="E365" t="s">
        <v>237</v>
      </c>
      <c r="F365">
        <v>63</v>
      </c>
      <c r="G365" t="s">
        <v>238</v>
      </c>
      <c r="H365" t="s">
        <v>874</v>
      </c>
      <c r="I365" t="s">
        <v>30</v>
      </c>
      <c r="J365" t="s">
        <v>26</v>
      </c>
      <c r="K365" t="s">
        <v>240</v>
      </c>
      <c r="L365" t="s">
        <v>875</v>
      </c>
      <c r="M365">
        <v>5000</v>
      </c>
      <c r="N365">
        <v>60</v>
      </c>
      <c r="O365">
        <v>5080920</v>
      </c>
      <c r="P365">
        <v>81</v>
      </c>
      <c r="Q365" t="s">
        <v>102</v>
      </c>
      <c r="R365">
        <v>1651.41</v>
      </c>
      <c r="S365">
        <v>1651.41</v>
      </c>
      <c r="T365">
        <v>0</v>
      </c>
      <c r="U365" t="s">
        <v>34</v>
      </c>
    </row>
    <row r="366" spans="1:26" x14ac:dyDescent="0.25">
      <c r="A366">
        <f t="shared" ca="1" si="30"/>
        <v>0</v>
      </c>
      <c r="C366">
        <f t="shared" ca="1" si="31"/>
        <v>0</v>
      </c>
      <c r="D366" t="s">
        <v>26</v>
      </c>
      <c r="E366" t="s">
        <v>237</v>
      </c>
      <c r="F366">
        <v>63</v>
      </c>
      <c r="G366" t="s">
        <v>238</v>
      </c>
      <c r="H366" t="s">
        <v>876</v>
      </c>
      <c r="I366" t="s">
        <v>30</v>
      </c>
      <c r="J366" t="s">
        <v>26</v>
      </c>
      <c r="K366" t="s">
        <v>240</v>
      </c>
      <c r="L366" t="s">
        <v>877</v>
      </c>
      <c r="M366">
        <v>5000</v>
      </c>
      <c r="N366">
        <v>69</v>
      </c>
      <c r="O366">
        <v>5084263</v>
      </c>
      <c r="P366">
        <v>81</v>
      </c>
      <c r="Q366" t="s">
        <v>102</v>
      </c>
      <c r="R366">
        <v>1651.41</v>
      </c>
      <c r="T366">
        <v>1651.41</v>
      </c>
    </row>
    <row r="367" spans="1:26" x14ac:dyDescent="0.25">
      <c r="A367">
        <f t="shared" ca="1" si="30"/>
        <v>0</v>
      </c>
      <c r="C367">
        <f t="shared" ca="1" si="31"/>
        <v>0</v>
      </c>
      <c r="D367" t="s">
        <v>88</v>
      </c>
      <c r="E367" t="s">
        <v>237</v>
      </c>
      <c r="F367">
        <v>776</v>
      </c>
      <c r="G367" t="s">
        <v>258</v>
      </c>
      <c r="H367" t="s">
        <v>878</v>
      </c>
      <c r="I367" t="s">
        <v>30</v>
      </c>
      <c r="J367" t="s">
        <v>88</v>
      </c>
      <c r="K367" t="s">
        <v>240</v>
      </c>
      <c r="L367" t="s">
        <v>879</v>
      </c>
      <c r="M367">
        <v>5000</v>
      </c>
      <c r="N367">
        <v>70</v>
      </c>
      <c r="X367" t="s">
        <v>880</v>
      </c>
    </row>
    <row r="368" spans="1:26" x14ac:dyDescent="0.25">
      <c r="A368">
        <f t="shared" ca="1" si="30"/>
        <v>0</v>
      </c>
      <c r="C368">
        <f t="shared" ca="1" si="31"/>
        <v>0</v>
      </c>
      <c r="D368" t="s">
        <v>26</v>
      </c>
      <c r="E368" t="s">
        <v>237</v>
      </c>
      <c r="F368">
        <v>69</v>
      </c>
      <c r="G368" t="s">
        <v>258</v>
      </c>
      <c r="H368" t="s">
        <v>881</v>
      </c>
      <c r="I368" t="s">
        <v>30</v>
      </c>
      <c r="J368" t="s">
        <v>26</v>
      </c>
      <c r="K368" t="s">
        <v>240</v>
      </c>
      <c r="L368" t="s">
        <v>882</v>
      </c>
      <c r="M368">
        <v>50000</v>
      </c>
      <c r="N368">
        <v>86</v>
      </c>
      <c r="X368" t="s">
        <v>883</v>
      </c>
    </row>
    <row r="369" spans="1:24" x14ac:dyDescent="0.25">
      <c r="A369">
        <f t="shared" ca="1" si="30"/>
        <v>0</v>
      </c>
      <c r="C369">
        <f t="shared" ca="1" si="31"/>
        <v>0</v>
      </c>
      <c r="D369" t="s">
        <v>88</v>
      </c>
      <c r="E369" t="s">
        <v>237</v>
      </c>
      <c r="F369">
        <v>1011</v>
      </c>
      <c r="G369" t="s">
        <v>884</v>
      </c>
      <c r="H369" t="s">
        <v>885</v>
      </c>
      <c r="I369" t="s">
        <v>30</v>
      </c>
      <c r="J369" t="s">
        <v>88</v>
      </c>
      <c r="K369" t="s">
        <v>240</v>
      </c>
      <c r="L369" t="s">
        <v>886</v>
      </c>
      <c r="M369">
        <v>55000</v>
      </c>
      <c r="N369">
        <v>87</v>
      </c>
      <c r="O369">
        <v>5074451</v>
      </c>
      <c r="P369">
        <v>5978</v>
      </c>
      <c r="Q369" t="s">
        <v>54</v>
      </c>
      <c r="R369">
        <v>49349.99</v>
      </c>
      <c r="T369">
        <v>49349.99</v>
      </c>
    </row>
    <row r="370" spans="1:24" x14ac:dyDescent="0.25">
      <c r="A370">
        <f t="shared" ca="1" si="30"/>
        <v>0</v>
      </c>
      <c r="C370">
        <f t="shared" ca="1" si="31"/>
        <v>0</v>
      </c>
      <c r="D370" t="s">
        <v>35</v>
      </c>
      <c r="E370" t="s">
        <v>237</v>
      </c>
      <c r="F370">
        <v>814</v>
      </c>
      <c r="G370" t="s">
        <v>887</v>
      </c>
      <c r="H370" t="s">
        <v>888</v>
      </c>
      <c r="I370" t="s">
        <v>30</v>
      </c>
      <c r="J370" t="s">
        <v>35</v>
      </c>
      <c r="K370" t="s">
        <v>240</v>
      </c>
      <c r="L370" t="s">
        <v>889</v>
      </c>
      <c r="O370">
        <v>5113587</v>
      </c>
      <c r="P370">
        <v>6364</v>
      </c>
      <c r="Q370" t="s">
        <v>331</v>
      </c>
      <c r="R370">
        <v>2697.92</v>
      </c>
      <c r="T370">
        <v>2697.92</v>
      </c>
    </row>
    <row r="371" spans="1:24" x14ac:dyDescent="0.25">
      <c r="A371">
        <f t="shared" ca="1" si="30"/>
        <v>0</v>
      </c>
      <c r="C371">
        <f t="shared" ca="1" si="31"/>
        <v>0</v>
      </c>
      <c r="D371" t="s">
        <v>285</v>
      </c>
      <c r="E371" t="s">
        <v>445</v>
      </c>
      <c r="F371">
        <v>1402</v>
      </c>
      <c r="G371" t="s">
        <v>446</v>
      </c>
      <c r="H371" t="s">
        <v>890</v>
      </c>
      <c r="I371" t="s">
        <v>187</v>
      </c>
      <c r="J371" t="s">
        <v>285</v>
      </c>
      <c r="K371" t="s">
        <v>448</v>
      </c>
      <c r="L371" t="s">
        <v>891</v>
      </c>
      <c r="M371">
        <v>5000</v>
      </c>
      <c r="N371">
        <v>534</v>
      </c>
      <c r="O371">
        <v>5056454</v>
      </c>
      <c r="P371">
        <v>7213</v>
      </c>
      <c r="Q371" t="s">
        <v>626</v>
      </c>
      <c r="R371">
        <v>2523.84</v>
      </c>
      <c r="T371">
        <v>2523.84</v>
      </c>
      <c r="U371" t="s">
        <v>40</v>
      </c>
    </row>
    <row r="372" spans="1:24" x14ac:dyDescent="0.25">
      <c r="A372">
        <f t="shared" ca="1" si="30"/>
        <v>0</v>
      </c>
      <c r="C372">
        <f t="shared" ca="1" si="31"/>
        <v>0</v>
      </c>
      <c r="D372" t="s">
        <v>35</v>
      </c>
      <c r="E372" t="s">
        <v>445</v>
      </c>
      <c r="F372">
        <v>2072</v>
      </c>
      <c r="G372" t="s">
        <v>518</v>
      </c>
      <c r="H372" t="s">
        <v>519</v>
      </c>
      <c r="I372" t="s">
        <v>30</v>
      </c>
      <c r="J372" t="s">
        <v>35</v>
      </c>
      <c r="K372" t="s">
        <v>448</v>
      </c>
      <c r="L372" t="s">
        <v>651</v>
      </c>
      <c r="M372">
        <v>1000</v>
      </c>
      <c r="N372">
        <v>572</v>
      </c>
      <c r="X372" t="s">
        <v>655</v>
      </c>
    </row>
    <row r="374" spans="1:24" x14ac:dyDescent="0.25">
      <c r="A374">
        <f t="shared" ref="A374:A383" ca="1" si="32">+ Cmde</f>
        <v>0</v>
      </c>
      <c r="C374">
        <f t="shared" ref="C374:C383" ca="1" si="33">+ Devis</f>
        <v>0</v>
      </c>
      <c r="D374" t="s">
        <v>26</v>
      </c>
      <c r="E374" t="s">
        <v>27</v>
      </c>
      <c r="F374">
        <v>293</v>
      </c>
      <c r="G374" t="s">
        <v>75</v>
      </c>
      <c r="H374" t="s">
        <v>147</v>
      </c>
      <c r="I374" t="s">
        <v>30</v>
      </c>
      <c r="J374" t="s">
        <v>26</v>
      </c>
      <c r="K374" t="s">
        <v>31</v>
      </c>
      <c r="L374" t="s">
        <v>892</v>
      </c>
      <c r="M374">
        <v>4000</v>
      </c>
      <c r="N374">
        <v>410</v>
      </c>
      <c r="O374">
        <v>5072269</v>
      </c>
      <c r="P374">
        <v>7431</v>
      </c>
      <c r="Q374" t="s">
        <v>121</v>
      </c>
      <c r="R374">
        <v>6545</v>
      </c>
      <c r="T374">
        <v>6545</v>
      </c>
      <c r="U374" t="s">
        <v>40</v>
      </c>
      <c r="V374" s="1">
        <v>46188</v>
      </c>
      <c r="W374" s="1">
        <v>46218</v>
      </c>
      <c r="X374" t="s">
        <v>893</v>
      </c>
    </row>
    <row r="375" spans="1:24" x14ac:dyDescent="0.25">
      <c r="A375">
        <f t="shared" ca="1" si="32"/>
        <v>0</v>
      </c>
      <c r="C375">
        <f t="shared" ca="1" si="33"/>
        <v>0</v>
      </c>
      <c r="D375" t="s">
        <v>236</v>
      </c>
      <c r="E375" t="s">
        <v>184</v>
      </c>
      <c r="F375">
        <v>912</v>
      </c>
      <c r="G375" t="s">
        <v>334</v>
      </c>
      <c r="H375" t="s">
        <v>894</v>
      </c>
      <c r="I375" t="s">
        <v>44</v>
      </c>
      <c r="J375" t="s">
        <v>236</v>
      </c>
      <c r="K375" t="s">
        <v>188</v>
      </c>
      <c r="L375" t="s">
        <v>895</v>
      </c>
      <c r="O375">
        <v>5085700</v>
      </c>
      <c r="P375">
        <v>6364</v>
      </c>
      <c r="Q375" t="s">
        <v>331</v>
      </c>
      <c r="R375">
        <v>2551.7199999999998</v>
      </c>
      <c r="T375">
        <v>2551.7199999999998</v>
      </c>
      <c r="X375" t="s">
        <v>896</v>
      </c>
    </row>
    <row r="376" spans="1:24" x14ac:dyDescent="0.25">
      <c r="A376">
        <f t="shared" ca="1" si="32"/>
        <v>0</v>
      </c>
      <c r="C376">
        <f t="shared" ca="1" si="33"/>
        <v>0</v>
      </c>
      <c r="D376" t="s">
        <v>35</v>
      </c>
      <c r="E376" t="s">
        <v>58</v>
      </c>
      <c r="F376">
        <v>54</v>
      </c>
      <c r="G376" t="s">
        <v>897</v>
      </c>
      <c r="H376" t="s">
        <v>898</v>
      </c>
      <c r="I376" t="s">
        <v>30</v>
      </c>
      <c r="J376" t="s">
        <v>35</v>
      </c>
      <c r="K376" t="s">
        <v>61</v>
      </c>
      <c r="L376" t="s">
        <v>899</v>
      </c>
      <c r="O376">
        <v>5096650</v>
      </c>
      <c r="P376">
        <v>911</v>
      </c>
      <c r="Q376" t="s">
        <v>621</v>
      </c>
      <c r="R376">
        <v>2260.2399999999998</v>
      </c>
      <c r="S376">
        <v>2260.2399999999998</v>
      </c>
      <c r="T376">
        <v>0</v>
      </c>
      <c r="U376" t="s">
        <v>34</v>
      </c>
      <c r="V376" s="1">
        <v>46259</v>
      </c>
      <c r="W376" s="1">
        <v>46269</v>
      </c>
    </row>
    <row r="377" spans="1:24" x14ac:dyDescent="0.25">
      <c r="A377">
        <f t="shared" ca="1" si="32"/>
        <v>0</v>
      </c>
      <c r="C377">
        <f t="shared" ca="1" si="33"/>
        <v>0</v>
      </c>
      <c r="D377" t="s">
        <v>203</v>
      </c>
      <c r="E377" t="s">
        <v>49</v>
      </c>
      <c r="F377">
        <v>1237</v>
      </c>
      <c r="G377" t="s">
        <v>726</v>
      </c>
      <c r="H377" t="s">
        <v>731</v>
      </c>
      <c r="I377" t="s">
        <v>44</v>
      </c>
      <c r="J377" t="s">
        <v>203</v>
      </c>
      <c r="K377" t="s">
        <v>326</v>
      </c>
      <c r="L377" t="s">
        <v>732</v>
      </c>
      <c r="M377">
        <v>6500</v>
      </c>
      <c r="N377">
        <v>613</v>
      </c>
      <c r="O377">
        <v>5106456</v>
      </c>
      <c r="P377">
        <v>193</v>
      </c>
      <c r="Q377" t="s">
        <v>733</v>
      </c>
      <c r="R377">
        <v>1866</v>
      </c>
      <c r="T377">
        <v>1866</v>
      </c>
      <c r="U377" t="s">
        <v>40</v>
      </c>
      <c r="V377" s="1">
        <v>46251</v>
      </c>
      <c r="W377" s="1">
        <v>46283</v>
      </c>
    </row>
    <row r="378" spans="1:24" x14ac:dyDescent="0.25">
      <c r="A378">
        <f t="shared" ca="1" si="32"/>
        <v>0</v>
      </c>
      <c r="C378">
        <f t="shared" ca="1" si="33"/>
        <v>0</v>
      </c>
      <c r="D378" t="s">
        <v>26</v>
      </c>
      <c r="E378" t="s">
        <v>900</v>
      </c>
      <c r="F378">
        <v>1732</v>
      </c>
      <c r="G378" t="s">
        <v>901</v>
      </c>
      <c r="H378" t="s">
        <v>902</v>
      </c>
      <c r="I378" t="s">
        <v>30</v>
      </c>
      <c r="J378" t="s">
        <v>26</v>
      </c>
      <c r="K378" t="s">
        <v>326</v>
      </c>
      <c r="L378" t="s">
        <v>903</v>
      </c>
      <c r="M378">
        <v>16000</v>
      </c>
      <c r="N378">
        <v>296</v>
      </c>
      <c r="O378">
        <v>5040036</v>
      </c>
      <c r="P378">
        <v>81</v>
      </c>
      <c r="Q378" t="s">
        <v>102</v>
      </c>
      <c r="R378">
        <v>20828.28</v>
      </c>
      <c r="S378">
        <v>17044.689999999999</v>
      </c>
      <c r="T378">
        <v>3783.59</v>
      </c>
      <c r="U378" t="s">
        <v>40</v>
      </c>
      <c r="V378" s="1">
        <v>46146</v>
      </c>
      <c r="W378" s="1">
        <v>46199</v>
      </c>
    </row>
    <row r="379" spans="1:24" x14ac:dyDescent="0.25">
      <c r="A379">
        <f t="shared" ca="1" si="32"/>
        <v>0</v>
      </c>
      <c r="C379">
        <f t="shared" ca="1" si="33"/>
        <v>0</v>
      </c>
      <c r="D379" t="s">
        <v>88</v>
      </c>
      <c r="E379" t="s">
        <v>900</v>
      </c>
      <c r="F379">
        <v>1702</v>
      </c>
      <c r="G379" t="s">
        <v>904</v>
      </c>
      <c r="H379" t="s">
        <v>905</v>
      </c>
      <c r="I379" t="s">
        <v>30</v>
      </c>
      <c r="J379" t="s">
        <v>88</v>
      </c>
      <c r="K379" t="s">
        <v>326</v>
      </c>
      <c r="L379" t="s">
        <v>906</v>
      </c>
      <c r="M379">
        <v>17000</v>
      </c>
      <c r="N379">
        <v>295</v>
      </c>
      <c r="O379">
        <v>5114723</v>
      </c>
      <c r="P379">
        <v>8336</v>
      </c>
      <c r="Q379" t="s">
        <v>751</v>
      </c>
      <c r="R379">
        <v>374.4</v>
      </c>
      <c r="T379">
        <v>374.4</v>
      </c>
      <c r="U379" t="s">
        <v>40</v>
      </c>
      <c r="V379" s="1">
        <v>46258</v>
      </c>
      <c r="W379" s="1">
        <v>46276</v>
      </c>
    </row>
    <row r="380" spans="1:24" x14ac:dyDescent="0.25">
      <c r="A380">
        <f t="shared" ca="1" si="32"/>
        <v>0</v>
      </c>
      <c r="C380">
        <f t="shared" ca="1" si="33"/>
        <v>0</v>
      </c>
      <c r="D380" t="s">
        <v>236</v>
      </c>
      <c r="E380" t="s">
        <v>237</v>
      </c>
      <c r="F380">
        <v>388</v>
      </c>
      <c r="G380" t="s">
        <v>907</v>
      </c>
      <c r="H380" t="s">
        <v>908</v>
      </c>
      <c r="I380" t="s">
        <v>44</v>
      </c>
      <c r="J380" t="s">
        <v>236</v>
      </c>
      <c r="K380" t="s">
        <v>240</v>
      </c>
      <c r="L380" t="s">
        <v>909</v>
      </c>
      <c r="M380">
        <v>6000</v>
      </c>
      <c r="N380">
        <v>33</v>
      </c>
      <c r="O380">
        <v>5123017</v>
      </c>
      <c r="P380">
        <v>13182</v>
      </c>
      <c r="Q380" t="s">
        <v>910</v>
      </c>
      <c r="R380">
        <v>2320.6799999999998</v>
      </c>
      <c r="T380">
        <v>2320.6799999999998</v>
      </c>
    </row>
    <row r="381" spans="1:24" x14ac:dyDescent="0.25">
      <c r="A381">
        <f t="shared" ca="1" si="32"/>
        <v>0</v>
      </c>
      <c r="C381">
        <f t="shared" ca="1" si="33"/>
        <v>0</v>
      </c>
      <c r="D381" t="s">
        <v>196</v>
      </c>
      <c r="E381" t="s">
        <v>237</v>
      </c>
      <c r="F381">
        <v>101</v>
      </c>
      <c r="G381" t="s">
        <v>580</v>
      </c>
      <c r="H381" t="s">
        <v>911</v>
      </c>
      <c r="I381" t="s">
        <v>187</v>
      </c>
      <c r="J381" t="s">
        <v>196</v>
      </c>
      <c r="K381" t="s">
        <v>240</v>
      </c>
      <c r="L381" t="s">
        <v>912</v>
      </c>
      <c r="M381">
        <v>4000</v>
      </c>
      <c r="N381">
        <v>8</v>
      </c>
      <c r="O381">
        <v>5126927</v>
      </c>
      <c r="P381">
        <v>17442</v>
      </c>
      <c r="Q381" t="s">
        <v>913</v>
      </c>
      <c r="R381">
        <v>8169.7</v>
      </c>
      <c r="T381">
        <v>8169.7</v>
      </c>
    </row>
    <row r="382" spans="1:24" x14ac:dyDescent="0.25">
      <c r="A382">
        <f t="shared" ca="1" si="32"/>
        <v>0</v>
      </c>
      <c r="C382">
        <f t="shared" ca="1" si="33"/>
        <v>0</v>
      </c>
      <c r="D382" t="s">
        <v>221</v>
      </c>
      <c r="E382" t="s">
        <v>49</v>
      </c>
      <c r="F382">
        <v>2140</v>
      </c>
      <c r="G382" t="s">
        <v>726</v>
      </c>
      <c r="H382" t="s">
        <v>914</v>
      </c>
      <c r="I382" t="s">
        <v>187</v>
      </c>
      <c r="J382" t="s">
        <v>221</v>
      </c>
      <c r="K382" t="s">
        <v>52</v>
      </c>
      <c r="L382" t="s">
        <v>915</v>
      </c>
      <c r="M382">
        <v>3500</v>
      </c>
      <c r="N382">
        <v>668</v>
      </c>
      <c r="O382">
        <v>5073894</v>
      </c>
      <c r="P382">
        <v>19582</v>
      </c>
      <c r="Q382" t="s">
        <v>866</v>
      </c>
      <c r="R382">
        <v>919.6</v>
      </c>
      <c r="S382">
        <v>919.6</v>
      </c>
      <c r="T382">
        <v>0</v>
      </c>
      <c r="U382" t="s">
        <v>34</v>
      </c>
      <c r="V382" s="1">
        <v>46181</v>
      </c>
      <c r="W382" s="1">
        <v>46185</v>
      </c>
      <c r="X382" t="s">
        <v>916</v>
      </c>
    </row>
    <row r="383" spans="1:24" x14ac:dyDescent="0.25">
      <c r="A383">
        <f t="shared" ca="1" si="32"/>
        <v>0</v>
      </c>
      <c r="C383">
        <f t="shared" ca="1" si="33"/>
        <v>0</v>
      </c>
      <c r="D383" t="s">
        <v>57</v>
      </c>
      <c r="E383" t="s">
        <v>49</v>
      </c>
      <c r="F383">
        <v>500</v>
      </c>
      <c r="G383" t="s">
        <v>228</v>
      </c>
      <c r="H383" t="s">
        <v>917</v>
      </c>
      <c r="I383" t="s">
        <v>44</v>
      </c>
      <c r="J383" t="s">
        <v>57</v>
      </c>
      <c r="K383" t="s">
        <v>52</v>
      </c>
      <c r="L383" t="s">
        <v>918</v>
      </c>
      <c r="M383">
        <v>3000</v>
      </c>
      <c r="N383">
        <v>669</v>
      </c>
      <c r="O383">
        <v>5118030</v>
      </c>
      <c r="P383">
        <v>3587</v>
      </c>
      <c r="Q383" t="s">
        <v>746</v>
      </c>
      <c r="R383">
        <v>1140</v>
      </c>
      <c r="T383">
        <v>1140</v>
      </c>
      <c r="X383" t="s">
        <v>919</v>
      </c>
    </row>
    <row r="384" spans="1:24" x14ac:dyDescent="0.25">
      <c r="A384" t="s">
        <v>920</v>
      </c>
    </row>
    <row r="385" spans="1:26" x14ac:dyDescent="0.25">
      <c r="A385">
        <f ca="1">+ Cmde</f>
        <v>0</v>
      </c>
      <c r="C385">
        <f ca="1">+ Devis</f>
        <v>0</v>
      </c>
      <c r="D385" t="s">
        <v>57</v>
      </c>
      <c r="E385" t="s">
        <v>49</v>
      </c>
      <c r="F385">
        <v>886</v>
      </c>
      <c r="G385" t="s">
        <v>228</v>
      </c>
      <c r="H385" t="s">
        <v>921</v>
      </c>
      <c r="I385" t="s">
        <v>44</v>
      </c>
      <c r="J385" t="s">
        <v>57</v>
      </c>
      <c r="K385" t="s">
        <v>52</v>
      </c>
      <c r="L385" t="s">
        <v>922</v>
      </c>
      <c r="M385">
        <v>25000</v>
      </c>
      <c r="N385">
        <v>670</v>
      </c>
      <c r="X385" t="s">
        <v>923</v>
      </c>
    </row>
    <row r="387" spans="1:26" x14ac:dyDescent="0.25">
      <c r="A387">
        <f ca="1">+ Cmde</f>
        <v>0</v>
      </c>
      <c r="C387">
        <f ca="1">+ Devis</f>
        <v>0</v>
      </c>
      <c r="D387" t="s">
        <v>41</v>
      </c>
      <c r="E387" t="s">
        <v>49</v>
      </c>
      <c r="F387">
        <v>888</v>
      </c>
      <c r="G387" t="s">
        <v>692</v>
      </c>
      <c r="H387" t="s">
        <v>924</v>
      </c>
      <c r="I387" t="s">
        <v>44</v>
      </c>
      <c r="J387" t="s">
        <v>41</v>
      </c>
      <c r="K387" t="s">
        <v>52</v>
      </c>
      <c r="L387" t="s">
        <v>925</v>
      </c>
      <c r="M387">
        <v>5000</v>
      </c>
      <c r="N387">
        <v>671</v>
      </c>
      <c r="O387">
        <v>5016310</v>
      </c>
      <c r="P387">
        <v>4921</v>
      </c>
      <c r="Q387" t="s">
        <v>94</v>
      </c>
      <c r="R387">
        <v>4855.04</v>
      </c>
      <c r="T387">
        <v>4855.04</v>
      </c>
      <c r="X387" t="s">
        <v>56</v>
      </c>
    </row>
    <row r="388" spans="1:26" x14ac:dyDescent="0.25">
      <c r="A388">
        <f ca="1">+ Cmde</f>
        <v>0</v>
      </c>
      <c r="C388">
        <f ca="1">+ Devis</f>
        <v>0</v>
      </c>
      <c r="D388" t="s">
        <v>203</v>
      </c>
      <c r="E388" t="s">
        <v>49</v>
      </c>
      <c r="F388">
        <v>974</v>
      </c>
      <c r="G388" t="s">
        <v>228</v>
      </c>
      <c r="H388" t="s">
        <v>926</v>
      </c>
      <c r="I388" t="s">
        <v>44</v>
      </c>
      <c r="J388" t="s">
        <v>203</v>
      </c>
      <c r="K388" t="s">
        <v>52</v>
      </c>
      <c r="L388" t="s">
        <v>927</v>
      </c>
      <c r="M388">
        <v>10000</v>
      </c>
      <c r="N388">
        <v>675</v>
      </c>
      <c r="O388">
        <v>5038638</v>
      </c>
      <c r="P388">
        <v>7669</v>
      </c>
      <c r="Q388" t="s">
        <v>261</v>
      </c>
      <c r="R388">
        <v>2631.86</v>
      </c>
      <c r="T388">
        <v>2631.86</v>
      </c>
      <c r="U388" t="s">
        <v>40</v>
      </c>
      <c r="V388" s="1">
        <v>46258</v>
      </c>
      <c r="W388" s="1">
        <v>46276</v>
      </c>
      <c r="X388" t="s">
        <v>56</v>
      </c>
    </row>
    <row r="389" spans="1:26" x14ac:dyDescent="0.25">
      <c r="A389" t="s">
        <v>858</v>
      </c>
    </row>
    <row r="390" spans="1:26" x14ac:dyDescent="0.25">
      <c r="A390">
        <f t="shared" ref="A390:A410" ca="1" si="34">+ Cmde</f>
        <v>0</v>
      </c>
      <c r="C390">
        <f t="shared" ref="C390:C410" ca="1" si="35">+ Devis</f>
        <v>0</v>
      </c>
      <c r="D390" t="s">
        <v>41</v>
      </c>
      <c r="E390" t="s">
        <v>49</v>
      </c>
      <c r="F390">
        <v>1561</v>
      </c>
      <c r="G390" t="s">
        <v>228</v>
      </c>
      <c r="H390" t="s">
        <v>928</v>
      </c>
      <c r="I390" t="s">
        <v>44</v>
      </c>
      <c r="J390" t="s">
        <v>41</v>
      </c>
      <c r="K390" t="s">
        <v>52</v>
      </c>
      <c r="L390" t="s">
        <v>929</v>
      </c>
      <c r="M390">
        <v>4000</v>
      </c>
      <c r="N390">
        <v>676</v>
      </c>
    </row>
    <row r="391" spans="1:26" x14ac:dyDescent="0.25">
      <c r="A391">
        <f t="shared" ca="1" si="34"/>
        <v>0</v>
      </c>
      <c r="C391">
        <f t="shared" ca="1" si="35"/>
        <v>0</v>
      </c>
      <c r="D391" t="s">
        <v>41</v>
      </c>
      <c r="E391" t="s">
        <v>49</v>
      </c>
      <c r="F391">
        <v>1562</v>
      </c>
      <c r="G391" t="s">
        <v>228</v>
      </c>
      <c r="H391" t="s">
        <v>930</v>
      </c>
      <c r="I391" t="s">
        <v>44</v>
      </c>
      <c r="J391" t="s">
        <v>41</v>
      </c>
      <c r="K391" t="s">
        <v>52</v>
      </c>
      <c r="L391" t="s">
        <v>929</v>
      </c>
      <c r="M391">
        <v>4000</v>
      </c>
      <c r="N391">
        <v>677</v>
      </c>
    </row>
    <row r="392" spans="1:26" x14ac:dyDescent="0.25">
      <c r="A392">
        <f t="shared" ca="1" si="34"/>
        <v>0</v>
      </c>
      <c r="C392">
        <f t="shared" ca="1" si="35"/>
        <v>0</v>
      </c>
      <c r="D392" t="s">
        <v>57</v>
      </c>
      <c r="E392" t="s">
        <v>49</v>
      </c>
      <c r="F392">
        <v>1564</v>
      </c>
      <c r="G392" t="s">
        <v>231</v>
      </c>
      <c r="H392" t="s">
        <v>931</v>
      </c>
      <c r="I392" t="s">
        <v>44</v>
      </c>
      <c r="J392" t="s">
        <v>57</v>
      </c>
      <c r="K392" t="s">
        <v>52</v>
      </c>
      <c r="L392" t="s">
        <v>932</v>
      </c>
      <c r="M392">
        <v>30000</v>
      </c>
      <c r="N392">
        <v>678</v>
      </c>
      <c r="O392">
        <v>5010587</v>
      </c>
      <c r="P392">
        <v>29</v>
      </c>
      <c r="Q392" t="s">
        <v>933</v>
      </c>
      <c r="R392">
        <v>22903.21</v>
      </c>
      <c r="S392">
        <v>22903.21</v>
      </c>
      <c r="T392">
        <v>0</v>
      </c>
      <c r="U392" t="s">
        <v>34</v>
      </c>
      <c r="V392" s="1">
        <v>46076</v>
      </c>
      <c r="W392" s="1">
        <v>46101</v>
      </c>
      <c r="Y392" t="s">
        <v>47</v>
      </c>
      <c r="Z392" s="1">
        <v>46050</v>
      </c>
    </row>
    <row r="393" spans="1:26" x14ac:dyDescent="0.25">
      <c r="A393">
        <f t="shared" ca="1" si="34"/>
        <v>0</v>
      </c>
      <c r="C393">
        <f t="shared" ca="1" si="35"/>
        <v>0</v>
      </c>
      <c r="D393" t="s">
        <v>203</v>
      </c>
      <c r="E393" t="s">
        <v>49</v>
      </c>
      <c r="F393">
        <v>1564</v>
      </c>
      <c r="G393" t="s">
        <v>231</v>
      </c>
      <c r="H393" t="s">
        <v>931</v>
      </c>
      <c r="I393" t="s">
        <v>44</v>
      </c>
      <c r="J393" t="s">
        <v>203</v>
      </c>
      <c r="K393" t="s">
        <v>52</v>
      </c>
      <c r="L393" t="s">
        <v>934</v>
      </c>
      <c r="M393">
        <v>8000</v>
      </c>
      <c r="N393">
        <v>679</v>
      </c>
      <c r="O393">
        <v>5020200</v>
      </c>
      <c r="P393">
        <v>7669</v>
      </c>
      <c r="Q393" t="s">
        <v>261</v>
      </c>
      <c r="R393">
        <v>12136.12</v>
      </c>
      <c r="T393">
        <v>12136.12</v>
      </c>
      <c r="X393" t="s">
        <v>56</v>
      </c>
    </row>
    <row r="394" spans="1:26" x14ac:dyDescent="0.25">
      <c r="A394">
        <f t="shared" ca="1" si="34"/>
        <v>0</v>
      </c>
      <c r="C394">
        <f t="shared" ca="1" si="35"/>
        <v>0</v>
      </c>
      <c r="D394" t="s">
        <v>41</v>
      </c>
      <c r="E394" t="s">
        <v>49</v>
      </c>
      <c r="F394">
        <v>1602</v>
      </c>
      <c r="G394" t="s">
        <v>692</v>
      </c>
      <c r="H394" t="s">
        <v>935</v>
      </c>
      <c r="I394" t="s">
        <v>44</v>
      </c>
      <c r="J394" t="s">
        <v>41</v>
      </c>
      <c r="K394" t="s">
        <v>52</v>
      </c>
      <c r="L394" t="s">
        <v>929</v>
      </c>
      <c r="M394">
        <v>12500</v>
      </c>
      <c r="N394">
        <v>680</v>
      </c>
      <c r="O394">
        <v>5020903</v>
      </c>
      <c r="P394">
        <v>4921</v>
      </c>
      <c r="Q394" t="s">
        <v>94</v>
      </c>
      <c r="R394">
        <v>17423.53</v>
      </c>
      <c r="T394">
        <v>17423.53</v>
      </c>
      <c r="X394" t="s">
        <v>56</v>
      </c>
    </row>
    <row r="395" spans="1:26" x14ac:dyDescent="0.25">
      <c r="A395">
        <f t="shared" ca="1" si="34"/>
        <v>0</v>
      </c>
      <c r="C395">
        <f t="shared" ca="1" si="35"/>
        <v>0</v>
      </c>
      <c r="D395" t="s">
        <v>203</v>
      </c>
      <c r="E395" t="s">
        <v>49</v>
      </c>
      <c r="F395">
        <v>1604</v>
      </c>
      <c r="G395" t="s">
        <v>689</v>
      </c>
      <c r="H395" t="s">
        <v>936</v>
      </c>
      <c r="I395" t="s">
        <v>44</v>
      </c>
      <c r="J395" t="s">
        <v>203</v>
      </c>
      <c r="K395" t="s">
        <v>52</v>
      </c>
      <c r="L395" t="s">
        <v>927</v>
      </c>
      <c r="M395">
        <v>5000</v>
      </c>
      <c r="N395">
        <v>681</v>
      </c>
      <c r="O395">
        <v>5023200</v>
      </c>
      <c r="P395">
        <v>7372</v>
      </c>
      <c r="Q395" t="s">
        <v>937</v>
      </c>
      <c r="R395">
        <v>5327.4</v>
      </c>
      <c r="T395">
        <v>5327.4</v>
      </c>
      <c r="U395" t="s">
        <v>107</v>
      </c>
      <c r="V395" s="1">
        <v>46307</v>
      </c>
      <c r="W395" s="1">
        <v>46325</v>
      </c>
      <c r="X395" t="s">
        <v>938</v>
      </c>
    </row>
    <row r="396" spans="1:26" x14ac:dyDescent="0.25">
      <c r="A396">
        <f t="shared" ca="1" si="34"/>
        <v>0</v>
      </c>
      <c r="C396">
        <f t="shared" ca="1" si="35"/>
        <v>0</v>
      </c>
      <c r="D396" t="s">
        <v>41</v>
      </c>
      <c r="E396" t="s">
        <v>49</v>
      </c>
      <c r="F396">
        <v>1608</v>
      </c>
      <c r="G396" t="s">
        <v>689</v>
      </c>
      <c r="H396" t="s">
        <v>939</v>
      </c>
      <c r="I396" t="s">
        <v>44</v>
      </c>
      <c r="J396" t="s">
        <v>41</v>
      </c>
      <c r="K396" t="s">
        <v>52</v>
      </c>
      <c r="L396" t="s">
        <v>929</v>
      </c>
      <c r="M396">
        <v>10000</v>
      </c>
      <c r="N396">
        <v>683</v>
      </c>
      <c r="O396">
        <v>5016338</v>
      </c>
      <c r="P396">
        <v>4921</v>
      </c>
      <c r="Q396" t="s">
        <v>94</v>
      </c>
      <c r="R396">
        <v>7732.41</v>
      </c>
      <c r="S396">
        <v>7732.41</v>
      </c>
      <c r="T396">
        <v>0</v>
      </c>
      <c r="U396" t="s">
        <v>34</v>
      </c>
      <c r="V396" s="1">
        <v>46218</v>
      </c>
      <c r="W396" s="1">
        <v>46226</v>
      </c>
      <c r="X396" t="s">
        <v>56</v>
      </c>
    </row>
    <row r="397" spans="1:26" x14ac:dyDescent="0.25">
      <c r="A397">
        <f t="shared" ca="1" si="34"/>
        <v>0</v>
      </c>
      <c r="C397">
        <f t="shared" ca="1" si="35"/>
        <v>0</v>
      </c>
      <c r="D397" t="s">
        <v>41</v>
      </c>
      <c r="E397" t="s">
        <v>49</v>
      </c>
      <c r="F397">
        <v>1609</v>
      </c>
      <c r="G397" t="s">
        <v>689</v>
      </c>
      <c r="H397" t="s">
        <v>940</v>
      </c>
      <c r="I397" t="s">
        <v>44</v>
      </c>
      <c r="J397" t="s">
        <v>41</v>
      </c>
      <c r="K397" t="s">
        <v>52</v>
      </c>
      <c r="L397" t="s">
        <v>941</v>
      </c>
      <c r="M397">
        <v>2000</v>
      </c>
      <c r="N397">
        <v>685</v>
      </c>
    </row>
    <row r="398" spans="1:26" x14ac:dyDescent="0.25">
      <c r="A398">
        <f t="shared" ca="1" si="34"/>
        <v>0</v>
      </c>
      <c r="C398">
        <f t="shared" ca="1" si="35"/>
        <v>0</v>
      </c>
      <c r="D398" t="s">
        <v>41</v>
      </c>
      <c r="E398" t="s">
        <v>49</v>
      </c>
      <c r="F398">
        <v>1610</v>
      </c>
      <c r="G398" t="s">
        <v>689</v>
      </c>
      <c r="H398" t="s">
        <v>942</v>
      </c>
      <c r="I398" t="s">
        <v>44</v>
      </c>
      <c r="J398" t="s">
        <v>41</v>
      </c>
      <c r="K398" t="s">
        <v>52</v>
      </c>
      <c r="L398" t="s">
        <v>929</v>
      </c>
      <c r="M398">
        <v>9000</v>
      </c>
      <c r="N398">
        <v>686</v>
      </c>
      <c r="O398">
        <v>5016343</v>
      </c>
      <c r="P398">
        <v>4921</v>
      </c>
      <c r="Q398" t="s">
        <v>94</v>
      </c>
      <c r="R398">
        <v>8843.5400000000009</v>
      </c>
      <c r="T398">
        <v>8843.5400000000009</v>
      </c>
      <c r="U398" t="s">
        <v>40</v>
      </c>
      <c r="V398" s="1">
        <v>46231</v>
      </c>
      <c r="W398" s="1">
        <v>46241</v>
      </c>
      <c r="X398" t="s">
        <v>56</v>
      </c>
    </row>
    <row r="399" spans="1:26" x14ac:dyDescent="0.25">
      <c r="A399">
        <f t="shared" ca="1" si="34"/>
        <v>0</v>
      </c>
      <c r="C399">
        <f t="shared" ca="1" si="35"/>
        <v>0</v>
      </c>
      <c r="D399" t="s">
        <v>57</v>
      </c>
      <c r="E399" t="s">
        <v>49</v>
      </c>
      <c r="F399">
        <v>1618</v>
      </c>
      <c r="G399" t="s">
        <v>50</v>
      </c>
      <c r="H399" t="s">
        <v>943</v>
      </c>
      <c r="I399" t="s">
        <v>44</v>
      </c>
      <c r="J399" t="s">
        <v>57</v>
      </c>
      <c r="K399" t="s">
        <v>52</v>
      </c>
      <c r="L399" t="s">
        <v>944</v>
      </c>
      <c r="M399">
        <v>22000</v>
      </c>
      <c r="N399">
        <v>688</v>
      </c>
      <c r="O399">
        <v>5015327</v>
      </c>
      <c r="P399">
        <v>29</v>
      </c>
      <c r="Q399" t="s">
        <v>933</v>
      </c>
      <c r="R399">
        <v>22752.92</v>
      </c>
      <c r="S399">
        <v>22752.92</v>
      </c>
      <c r="T399">
        <v>0</v>
      </c>
      <c r="U399" t="s">
        <v>34</v>
      </c>
      <c r="V399" s="1">
        <v>46048</v>
      </c>
      <c r="W399" s="1">
        <v>46073</v>
      </c>
    </row>
    <row r="400" spans="1:26" x14ac:dyDescent="0.25">
      <c r="A400">
        <f t="shared" ca="1" si="34"/>
        <v>0</v>
      </c>
      <c r="C400">
        <f t="shared" ca="1" si="35"/>
        <v>0</v>
      </c>
      <c r="D400" t="s">
        <v>57</v>
      </c>
      <c r="E400" t="s">
        <v>49</v>
      </c>
      <c r="F400">
        <v>1716</v>
      </c>
      <c r="G400" t="s">
        <v>263</v>
      </c>
      <c r="H400" t="s">
        <v>945</v>
      </c>
      <c r="I400" t="s">
        <v>44</v>
      </c>
      <c r="J400" t="s">
        <v>57</v>
      </c>
      <c r="K400" t="s">
        <v>52</v>
      </c>
      <c r="L400" t="s">
        <v>946</v>
      </c>
      <c r="M400">
        <v>7000</v>
      </c>
      <c r="N400">
        <v>689</v>
      </c>
    </row>
    <row r="401" spans="1:26" x14ac:dyDescent="0.25">
      <c r="A401">
        <f t="shared" ca="1" si="34"/>
        <v>0</v>
      </c>
      <c r="C401">
        <f t="shared" ca="1" si="35"/>
        <v>0</v>
      </c>
      <c r="D401" t="s">
        <v>203</v>
      </c>
      <c r="E401" t="s">
        <v>49</v>
      </c>
      <c r="F401">
        <v>1716</v>
      </c>
      <c r="G401" t="s">
        <v>263</v>
      </c>
      <c r="H401" t="s">
        <v>947</v>
      </c>
      <c r="I401" t="s">
        <v>44</v>
      </c>
      <c r="J401" t="s">
        <v>203</v>
      </c>
      <c r="K401" t="s">
        <v>52</v>
      </c>
      <c r="L401" t="s">
        <v>927</v>
      </c>
      <c r="M401">
        <v>3000</v>
      </c>
      <c r="N401">
        <v>690</v>
      </c>
    </row>
    <row r="402" spans="1:26" x14ac:dyDescent="0.25">
      <c r="A402">
        <f t="shared" ca="1" si="34"/>
        <v>0</v>
      </c>
      <c r="C402">
        <f t="shared" ca="1" si="35"/>
        <v>0</v>
      </c>
      <c r="D402" t="s">
        <v>35</v>
      </c>
      <c r="E402" t="s">
        <v>49</v>
      </c>
      <c r="F402">
        <v>974</v>
      </c>
      <c r="G402" t="s">
        <v>228</v>
      </c>
      <c r="H402" t="s">
        <v>926</v>
      </c>
      <c r="I402" t="s">
        <v>30</v>
      </c>
      <c r="J402" t="s">
        <v>35</v>
      </c>
      <c r="K402" t="s">
        <v>52</v>
      </c>
      <c r="L402" t="s">
        <v>948</v>
      </c>
      <c r="M402">
        <v>8000</v>
      </c>
      <c r="N402">
        <v>692</v>
      </c>
      <c r="O402">
        <v>5014729</v>
      </c>
      <c r="P402">
        <v>1868</v>
      </c>
      <c r="Q402" t="s">
        <v>706</v>
      </c>
      <c r="R402">
        <v>711.7</v>
      </c>
      <c r="S402">
        <v>711.7</v>
      </c>
      <c r="T402">
        <v>0</v>
      </c>
      <c r="U402" t="s">
        <v>34</v>
      </c>
      <c r="V402" s="1">
        <v>46044</v>
      </c>
      <c r="W402" s="1">
        <v>46044</v>
      </c>
    </row>
    <row r="403" spans="1:26" x14ac:dyDescent="0.25">
      <c r="A403">
        <f t="shared" ca="1" si="34"/>
        <v>0</v>
      </c>
      <c r="C403">
        <f t="shared" ca="1" si="35"/>
        <v>0</v>
      </c>
      <c r="D403" t="s">
        <v>88</v>
      </c>
      <c r="E403" t="s">
        <v>49</v>
      </c>
      <c r="F403">
        <v>1551</v>
      </c>
      <c r="G403" t="s">
        <v>263</v>
      </c>
      <c r="H403" t="s">
        <v>949</v>
      </c>
      <c r="I403" t="s">
        <v>30</v>
      </c>
      <c r="J403" t="s">
        <v>88</v>
      </c>
      <c r="K403" t="s">
        <v>52</v>
      </c>
      <c r="L403" t="s">
        <v>950</v>
      </c>
      <c r="M403">
        <v>15000</v>
      </c>
      <c r="N403">
        <v>693</v>
      </c>
      <c r="O403">
        <v>5029968</v>
      </c>
      <c r="P403">
        <v>166</v>
      </c>
      <c r="Q403" t="s">
        <v>681</v>
      </c>
      <c r="R403">
        <v>11606.72</v>
      </c>
      <c r="S403">
        <v>11606.72</v>
      </c>
      <c r="T403">
        <v>0</v>
      </c>
      <c r="U403" t="s">
        <v>34</v>
      </c>
      <c r="V403" s="1">
        <v>46111</v>
      </c>
      <c r="W403" s="1">
        <v>46126</v>
      </c>
      <c r="X403" t="s">
        <v>951</v>
      </c>
    </row>
    <row r="404" spans="1:26" x14ac:dyDescent="0.25">
      <c r="A404">
        <f t="shared" ca="1" si="34"/>
        <v>0</v>
      </c>
      <c r="C404">
        <f t="shared" ca="1" si="35"/>
        <v>0</v>
      </c>
      <c r="D404" t="s">
        <v>74</v>
      </c>
      <c r="E404" t="s">
        <v>49</v>
      </c>
      <c r="F404">
        <v>1551</v>
      </c>
      <c r="G404" t="s">
        <v>263</v>
      </c>
      <c r="H404" t="s">
        <v>952</v>
      </c>
      <c r="I404" t="s">
        <v>30</v>
      </c>
      <c r="J404" t="s">
        <v>74</v>
      </c>
      <c r="K404" t="s">
        <v>52</v>
      </c>
      <c r="L404" t="s">
        <v>953</v>
      </c>
      <c r="M404">
        <v>65000</v>
      </c>
      <c r="N404">
        <v>694</v>
      </c>
      <c r="O404">
        <v>5010539</v>
      </c>
      <c r="P404">
        <v>533</v>
      </c>
      <c r="Q404" t="s">
        <v>954</v>
      </c>
      <c r="R404">
        <v>60296.67</v>
      </c>
      <c r="T404">
        <v>60296.67</v>
      </c>
      <c r="U404" t="s">
        <v>40</v>
      </c>
      <c r="V404" s="1">
        <v>46253</v>
      </c>
      <c r="W404" s="1">
        <v>46290</v>
      </c>
      <c r="X404" t="s">
        <v>853</v>
      </c>
      <c r="Y404" t="s">
        <v>47</v>
      </c>
      <c r="Z404" s="1">
        <v>46237</v>
      </c>
    </row>
    <row r="405" spans="1:26" x14ac:dyDescent="0.25">
      <c r="A405">
        <f t="shared" ca="1" si="34"/>
        <v>0</v>
      </c>
      <c r="C405">
        <f t="shared" ca="1" si="35"/>
        <v>0</v>
      </c>
      <c r="D405" t="s">
        <v>355</v>
      </c>
      <c r="E405" t="s">
        <v>49</v>
      </c>
      <c r="F405">
        <v>1602</v>
      </c>
      <c r="G405" t="s">
        <v>692</v>
      </c>
      <c r="H405" t="s">
        <v>955</v>
      </c>
      <c r="I405" t="s">
        <v>30</v>
      </c>
      <c r="J405" t="s">
        <v>355</v>
      </c>
      <c r="K405" t="s">
        <v>52</v>
      </c>
      <c r="L405" t="s">
        <v>956</v>
      </c>
      <c r="M405">
        <v>10000</v>
      </c>
      <c r="N405">
        <v>695</v>
      </c>
      <c r="X405" t="s">
        <v>957</v>
      </c>
    </row>
    <row r="406" spans="1:26" x14ac:dyDescent="0.25">
      <c r="A406">
        <f t="shared" ca="1" si="34"/>
        <v>0</v>
      </c>
      <c r="C406">
        <f t="shared" ca="1" si="35"/>
        <v>0</v>
      </c>
      <c r="D406" t="s">
        <v>355</v>
      </c>
      <c r="E406" t="s">
        <v>49</v>
      </c>
      <c r="F406">
        <v>1603</v>
      </c>
      <c r="G406" t="s">
        <v>692</v>
      </c>
      <c r="H406" t="s">
        <v>958</v>
      </c>
      <c r="I406" t="s">
        <v>30</v>
      </c>
      <c r="J406" t="s">
        <v>355</v>
      </c>
      <c r="K406" t="s">
        <v>52</v>
      </c>
      <c r="L406" t="s">
        <v>959</v>
      </c>
      <c r="M406">
        <v>4000</v>
      </c>
      <c r="N406">
        <v>696</v>
      </c>
      <c r="O406">
        <v>5038931</v>
      </c>
      <c r="P406">
        <v>6810</v>
      </c>
      <c r="Q406" t="s">
        <v>765</v>
      </c>
      <c r="R406">
        <v>3053.6</v>
      </c>
      <c r="S406">
        <v>3053.6</v>
      </c>
      <c r="T406">
        <v>0</v>
      </c>
      <c r="U406" t="s">
        <v>34</v>
      </c>
      <c r="V406" s="1">
        <v>46181</v>
      </c>
      <c r="W406" s="1">
        <v>46199</v>
      </c>
    </row>
    <row r="407" spans="1:26" x14ac:dyDescent="0.25">
      <c r="A407">
        <f t="shared" ca="1" si="34"/>
        <v>0</v>
      </c>
      <c r="C407">
        <f t="shared" ca="1" si="35"/>
        <v>0</v>
      </c>
      <c r="D407" t="s">
        <v>26</v>
      </c>
      <c r="E407" t="s">
        <v>49</v>
      </c>
      <c r="F407">
        <v>1605</v>
      </c>
      <c r="G407" t="s">
        <v>689</v>
      </c>
      <c r="H407" t="s">
        <v>960</v>
      </c>
      <c r="I407" t="s">
        <v>30</v>
      </c>
      <c r="J407" t="s">
        <v>26</v>
      </c>
      <c r="K407" t="s">
        <v>52</v>
      </c>
      <c r="L407" t="s">
        <v>961</v>
      </c>
      <c r="M407">
        <v>5000</v>
      </c>
      <c r="N407">
        <v>697</v>
      </c>
      <c r="O407">
        <v>5023249</v>
      </c>
      <c r="P407">
        <v>6930</v>
      </c>
      <c r="Q407" t="s">
        <v>962</v>
      </c>
      <c r="R407">
        <v>0</v>
      </c>
      <c r="T407">
        <v>0</v>
      </c>
    </row>
    <row r="408" spans="1:26" x14ac:dyDescent="0.25">
      <c r="A408">
        <f t="shared" ca="1" si="34"/>
        <v>0</v>
      </c>
      <c r="C408">
        <f t="shared" ca="1" si="35"/>
        <v>0</v>
      </c>
      <c r="D408" t="s">
        <v>35</v>
      </c>
      <c r="E408" t="s">
        <v>49</v>
      </c>
      <c r="F408">
        <v>1610</v>
      </c>
      <c r="G408" t="s">
        <v>689</v>
      </c>
      <c r="H408" t="s">
        <v>963</v>
      </c>
      <c r="I408" t="s">
        <v>30</v>
      </c>
      <c r="J408" t="s">
        <v>35</v>
      </c>
      <c r="K408" t="s">
        <v>52</v>
      </c>
      <c r="L408" t="s">
        <v>964</v>
      </c>
      <c r="M408">
        <v>5000</v>
      </c>
      <c r="N408">
        <v>698</v>
      </c>
      <c r="X408" t="s">
        <v>965</v>
      </c>
    </row>
    <row r="409" spans="1:26" x14ac:dyDescent="0.25">
      <c r="A409">
        <f t="shared" ca="1" si="34"/>
        <v>0</v>
      </c>
      <c r="C409">
        <f t="shared" ca="1" si="35"/>
        <v>0</v>
      </c>
      <c r="D409" t="s">
        <v>95</v>
      </c>
      <c r="E409" t="s">
        <v>49</v>
      </c>
      <c r="F409">
        <v>1611</v>
      </c>
      <c r="G409" t="s">
        <v>692</v>
      </c>
      <c r="H409" t="s">
        <v>966</v>
      </c>
      <c r="I409" t="s">
        <v>30</v>
      </c>
      <c r="J409" t="s">
        <v>95</v>
      </c>
      <c r="K409" t="s">
        <v>52</v>
      </c>
      <c r="L409" t="s">
        <v>967</v>
      </c>
      <c r="M409">
        <v>8000</v>
      </c>
      <c r="N409">
        <v>699</v>
      </c>
      <c r="O409">
        <v>5030702</v>
      </c>
      <c r="P409">
        <v>6836</v>
      </c>
      <c r="Q409" t="s">
        <v>968</v>
      </c>
      <c r="R409">
        <v>11979</v>
      </c>
      <c r="S409">
        <v>11979</v>
      </c>
      <c r="T409">
        <v>0</v>
      </c>
      <c r="U409" t="s">
        <v>34</v>
      </c>
      <c r="V409" s="1">
        <v>46097</v>
      </c>
      <c r="W409" s="1">
        <v>46111</v>
      </c>
      <c r="X409" t="s">
        <v>969</v>
      </c>
    </row>
    <row r="410" spans="1:26" x14ac:dyDescent="0.25">
      <c r="A410">
        <f t="shared" ca="1" si="34"/>
        <v>0</v>
      </c>
      <c r="C410">
        <f t="shared" ca="1" si="35"/>
        <v>0</v>
      </c>
      <c r="D410" t="s">
        <v>35</v>
      </c>
      <c r="E410" t="s">
        <v>49</v>
      </c>
      <c r="F410">
        <v>1613</v>
      </c>
      <c r="G410" t="s">
        <v>692</v>
      </c>
      <c r="H410" t="s">
        <v>970</v>
      </c>
      <c r="I410" t="s">
        <v>30</v>
      </c>
      <c r="J410" t="s">
        <v>35</v>
      </c>
      <c r="K410" t="s">
        <v>52</v>
      </c>
      <c r="L410" t="s">
        <v>971</v>
      </c>
      <c r="M410">
        <v>20000</v>
      </c>
      <c r="N410">
        <v>700</v>
      </c>
      <c r="X410" t="s">
        <v>972</v>
      </c>
    </row>
    <row r="411" spans="1:26" x14ac:dyDescent="0.25">
      <c r="A411" t="s">
        <v>973</v>
      </c>
    </row>
    <row r="412" spans="1:26" x14ac:dyDescent="0.25">
      <c r="A412">
        <f ca="1">+ Cmde</f>
        <v>0</v>
      </c>
      <c r="C412">
        <f ca="1">+ Devis</f>
        <v>0</v>
      </c>
      <c r="D412" t="s">
        <v>355</v>
      </c>
      <c r="E412" t="s">
        <v>49</v>
      </c>
      <c r="F412">
        <v>1614</v>
      </c>
      <c r="G412" t="s">
        <v>692</v>
      </c>
      <c r="H412" t="s">
        <v>974</v>
      </c>
      <c r="I412" t="s">
        <v>30</v>
      </c>
      <c r="J412" t="s">
        <v>355</v>
      </c>
      <c r="K412" t="s">
        <v>52</v>
      </c>
      <c r="L412" t="s">
        <v>975</v>
      </c>
      <c r="M412">
        <v>5000</v>
      </c>
      <c r="N412">
        <v>702</v>
      </c>
      <c r="O412">
        <v>5123437</v>
      </c>
      <c r="P412">
        <v>29</v>
      </c>
      <c r="Q412" t="s">
        <v>933</v>
      </c>
      <c r="R412">
        <v>15844.62</v>
      </c>
      <c r="T412">
        <v>15844.62</v>
      </c>
      <c r="X412" t="s">
        <v>976</v>
      </c>
    </row>
    <row r="414" spans="1:26" x14ac:dyDescent="0.25">
      <c r="A414" t="s">
        <v>977</v>
      </c>
    </row>
    <row r="417" spans="1:24" x14ac:dyDescent="0.25">
      <c r="A417">
        <f ca="1">+ Cmde</f>
        <v>0</v>
      </c>
      <c r="C417">
        <f ca="1">+ Devis</f>
        <v>0</v>
      </c>
      <c r="D417" t="s">
        <v>35</v>
      </c>
      <c r="E417" t="s">
        <v>49</v>
      </c>
      <c r="F417">
        <v>1614</v>
      </c>
      <c r="G417" t="s">
        <v>692</v>
      </c>
      <c r="H417" t="s">
        <v>978</v>
      </c>
      <c r="I417" t="s">
        <v>30</v>
      </c>
      <c r="J417" t="s">
        <v>35</v>
      </c>
      <c r="K417" t="s">
        <v>52</v>
      </c>
      <c r="L417" t="s">
        <v>979</v>
      </c>
      <c r="M417">
        <v>15000</v>
      </c>
      <c r="N417">
        <v>703</v>
      </c>
      <c r="O417">
        <v>5010827</v>
      </c>
      <c r="P417">
        <v>483</v>
      </c>
      <c r="Q417" t="s">
        <v>162</v>
      </c>
      <c r="R417">
        <v>3035.27</v>
      </c>
      <c r="S417">
        <v>3035.27</v>
      </c>
      <c r="T417">
        <v>0</v>
      </c>
      <c r="U417" t="s">
        <v>34</v>
      </c>
      <c r="V417" s="1">
        <v>46042</v>
      </c>
      <c r="W417" s="1">
        <v>46042</v>
      </c>
      <c r="X417" t="s">
        <v>980</v>
      </c>
    </row>
    <row r="418" spans="1:24" x14ac:dyDescent="0.25">
      <c r="A418" t="s">
        <v>853</v>
      </c>
    </row>
    <row r="419" spans="1:24" x14ac:dyDescent="0.25">
      <c r="A419">
        <f t="shared" ref="A419:A448" ca="1" si="36">+ Cmde</f>
        <v>0</v>
      </c>
      <c r="C419">
        <f t="shared" ref="C419:C448" ca="1" si="37">+ Devis</f>
        <v>0</v>
      </c>
      <c r="D419" t="s">
        <v>95</v>
      </c>
      <c r="E419" t="s">
        <v>49</v>
      </c>
      <c r="F419">
        <v>1693</v>
      </c>
      <c r="G419" t="s">
        <v>263</v>
      </c>
      <c r="H419" t="s">
        <v>981</v>
      </c>
      <c r="I419" t="s">
        <v>30</v>
      </c>
      <c r="J419" t="s">
        <v>95</v>
      </c>
      <c r="K419" t="s">
        <v>52</v>
      </c>
      <c r="L419" t="s">
        <v>982</v>
      </c>
      <c r="M419">
        <v>15000</v>
      </c>
      <c r="N419">
        <v>705</v>
      </c>
      <c r="X419" t="s">
        <v>983</v>
      </c>
    </row>
    <row r="420" spans="1:24" x14ac:dyDescent="0.25">
      <c r="A420">
        <f t="shared" ca="1" si="36"/>
        <v>0</v>
      </c>
      <c r="C420">
        <f t="shared" ca="1" si="37"/>
        <v>0</v>
      </c>
      <c r="D420" t="s">
        <v>95</v>
      </c>
      <c r="E420" t="s">
        <v>49</v>
      </c>
      <c r="F420">
        <v>1710</v>
      </c>
      <c r="G420" t="s">
        <v>263</v>
      </c>
      <c r="H420" t="s">
        <v>984</v>
      </c>
      <c r="I420" t="s">
        <v>30</v>
      </c>
      <c r="J420" t="s">
        <v>95</v>
      </c>
      <c r="K420" t="s">
        <v>52</v>
      </c>
      <c r="L420" t="s">
        <v>985</v>
      </c>
      <c r="M420">
        <v>20000</v>
      </c>
      <c r="N420">
        <v>706</v>
      </c>
      <c r="O420">
        <v>5038595</v>
      </c>
      <c r="P420">
        <v>6836</v>
      </c>
      <c r="Q420" t="s">
        <v>968</v>
      </c>
      <c r="R420">
        <v>5413.54</v>
      </c>
      <c r="S420">
        <v>5413.54</v>
      </c>
      <c r="T420">
        <v>0</v>
      </c>
      <c r="U420" t="s">
        <v>34</v>
      </c>
      <c r="V420" s="1">
        <v>46107</v>
      </c>
      <c r="W420" s="1">
        <v>46112</v>
      </c>
      <c r="X420" t="s">
        <v>56</v>
      </c>
    </row>
    <row r="421" spans="1:24" x14ac:dyDescent="0.25">
      <c r="A421">
        <f t="shared" ca="1" si="36"/>
        <v>0</v>
      </c>
      <c r="C421">
        <f t="shared" ca="1" si="37"/>
        <v>0</v>
      </c>
      <c r="D421" t="s">
        <v>26</v>
      </c>
      <c r="E421" t="s">
        <v>49</v>
      </c>
      <c r="F421">
        <v>1775</v>
      </c>
      <c r="G421" t="s">
        <v>692</v>
      </c>
      <c r="H421" t="s">
        <v>986</v>
      </c>
      <c r="I421" t="s">
        <v>30</v>
      </c>
      <c r="J421" t="s">
        <v>26</v>
      </c>
      <c r="K421" t="s">
        <v>52</v>
      </c>
      <c r="L421" t="s">
        <v>987</v>
      </c>
      <c r="M421">
        <v>15000</v>
      </c>
      <c r="N421">
        <v>707</v>
      </c>
      <c r="O421">
        <v>5020211</v>
      </c>
      <c r="P421">
        <v>81</v>
      </c>
      <c r="Q421" t="s">
        <v>102</v>
      </c>
      <c r="R421">
        <v>14145.04</v>
      </c>
      <c r="S421">
        <v>14145.04</v>
      </c>
      <c r="T421">
        <v>0</v>
      </c>
      <c r="U421" t="s">
        <v>34</v>
      </c>
      <c r="V421" s="1">
        <v>46121</v>
      </c>
      <c r="W421" s="1">
        <v>46122</v>
      </c>
    </row>
    <row r="422" spans="1:24" x14ac:dyDescent="0.25">
      <c r="A422">
        <f t="shared" ca="1" si="36"/>
        <v>0</v>
      </c>
      <c r="C422">
        <f t="shared" ca="1" si="37"/>
        <v>0</v>
      </c>
      <c r="D422" t="s">
        <v>95</v>
      </c>
      <c r="E422" t="s">
        <v>49</v>
      </c>
      <c r="F422">
        <v>1803</v>
      </c>
      <c r="G422" t="s">
        <v>689</v>
      </c>
      <c r="H422" t="s">
        <v>988</v>
      </c>
      <c r="I422" t="s">
        <v>30</v>
      </c>
      <c r="J422" t="s">
        <v>95</v>
      </c>
      <c r="K422" t="s">
        <v>52</v>
      </c>
      <c r="L422" t="s">
        <v>967</v>
      </c>
      <c r="M422">
        <v>10000</v>
      </c>
      <c r="N422">
        <v>708</v>
      </c>
      <c r="O422">
        <v>5029949</v>
      </c>
      <c r="P422">
        <v>6836</v>
      </c>
      <c r="Q422" t="s">
        <v>968</v>
      </c>
      <c r="R422">
        <v>2200</v>
      </c>
      <c r="S422">
        <v>2200</v>
      </c>
      <c r="T422">
        <v>0</v>
      </c>
      <c r="U422" t="s">
        <v>34</v>
      </c>
      <c r="V422" s="1">
        <v>46069</v>
      </c>
      <c r="W422" s="1">
        <v>46070</v>
      </c>
    </row>
    <row r="423" spans="1:24" x14ac:dyDescent="0.25">
      <c r="A423">
        <f t="shared" ca="1" si="36"/>
        <v>0</v>
      </c>
      <c r="C423">
        <f t="shared" ca="1" si="37"/>
        <v>0</v>
      </c>
      <c r="D423" t="s">
        <v>26</v>
      </c>
      <c r="E423" t="s">
        <v>49</v>
      </c>
      <c r="F423">
        <v>1805</v>
      </c>
      <c r="G423" t="s">
        <v>726</v>
      </c>
      <c r="H423" t="s">
        <v>989</v>
      </c>
      <c r="I423" t="s">
        <v>30</v>
      </c>
      <c r="J423" t="s">
        <v>26</v>
      </c>
      <c r="K423" t="s">
        <v>52</v>
      </c>
      <c r="L423" t="s">
        <v>990</v>
      </c>
      <c r="M423">
        <v>7000</v>
      </c>
      <c r="N423">
        <v>709</v>
      </c>
      <c r="O423">
        <v>5014194</v>
      </c>
      <c r="P423">
        <v>19582</v>
      </c>
      <c r="Q423" t="s">
        <v>866</v>
      </c>
    </row>
    <row r="424" spans="1:24" x14ac:dyDescent="0.25">
      <c r="A424">
        <f t="shared" ca="1" si="36"/>
        <v>0</v>
      </c>
      <c r="C424">
        <f t="shared" ca="1" si="37"/>
        <v>0</v>
      </c>
      <c r="D424" t="s">
        <v>183</v>
      </c>
      <c r="E424" t="s">
        <v>250</v>
      </c>
      <c r="F424">
        <v>1909</v>
      </c>
      <c r="G424" t="s">
        <v>251</v>
      </c>
      <c r="H424" t="s">
        <v>991</v>
      </c>
      <c r="I424" t="s">
        <v>187</v>
      </c>
      <c r="J424" t="s">
        <v>183</v>
      </c>
      <c r="K424" t="s">
        <v>253</v>
      </c>
      <c r="L424" t="s">
        <v>992</v>
      </c>
      <c r="M424">
        <v>2000</v>
      </c>
      <c r="N424">
        <v>710</v>
      </c>
      <c r="U424" t="s">
        <v>107</v>
      </c>
    </row>
    <row r="425" spans="1:24" x14ac:dyDescent="0.25">
      <c r="A425">
        <f t="shared" ca="1" si="36"/>
        <v>0</v>
      </c>
      <c r="C425">
        <f t="shared" ca="1" si="37"/>
        <v>0</v>
      </c>
      <c r="D425" t="s">
        <v>221</v>
      </c>
      <c r="E425" t="s">
        <v>250</v>
      </c>
      <c r="F425">
        <v>1909</v>
      </c>
      <c r="G425" t="s">
        <v>251</v>
      </c>
      <c r="H425" t="s">
        <v>991</v>
      </c>
      <c r="I425" t="s">
        <v>187</v>
      </c>
      <c r="J425" t="s">
        <v>221</v>
      </c>
      <c r="K425" t="s">
        <v>253</v>
      </c>
      <c r="L425" t="s">
        <v>993</v>
      </c>
      <c r="M425">
        <v>3900</v>
      </c>
      <c r="N425">
        <v>711</v>
      </c>
      <c r="O425">
        <v>5027152</v>
      </c>
      <c r="P425">
        <v>7941</v>
      </c>
      <c r="Q425" t="s">
        <v>994</v>
      </c>
      <c r="R425">
        <v>2625.32</v>
      </c>
      <c r="S425">
        <v>2625.32</v>
      </c>
      <c r="T425">
        <v>0</v>
      </c>
      <c r="U425" t="s">
        <v>34</v>
      </c>
    </row>
    <row r="426" spans="1:24" x14ac:dyDescent="0.25">
      <c r="A426">
        <f t="shared" ca="1" si="36"/>
        <v>0</v>
      </c>
      <c r="C426">
        <f t="shared" ca="1" si="37"/>
        <v>0</v>
      </c>
      <c r="D426" t="s">
        <v>221</v>
      </c>
      <c r="E426" t="s">
        <v>250</v>
      </c>
      <c r="F426">
        <v>2139</v>
      </c>
      <c r="G426" t="s">
        <v>251</v>
      </c>
      <c r="H426" t="s">
        <v>995</v>
      </c>
      <c r="I426" t="s">
        <v>187</v>
      </c>
      <c r="J426" t="s">
        <v>221</v>
      </c>
      <c r="K426" t="s">
        <v>253</v>
      </c>
      <c r="L426" t="s">
        <v>993</v>
      </c>
      <c r="M426">
        <v>3000</v>
      </c>
      <c r="N426">
        <v>714</v>
      </c>
      <c r="O426">
        <v>5027862</v>
      </c>
      <c r="P426">
        <v>7941</v>
      </c>
      <c r="Q426" t="s">
        <v>994</v>
      </c>
      <c r="R426">
        <v>3257.17</v>
      </c>
      <c r="S426">
        <v>3257.17</v>
      </c>
      <c r="T426">
        <v>0</v>
      </c>
      <c r="U426" t="s">
        <v>34</v>
      </c>
      <c r="V426" s="1">
        <v>46055</v>
      </c>
      <c r="W426" s="1">
        <v>46112</v>
      </c>
    </row>
    <row r="427" spans="1:24" x14ac:dyDescent="0.25">
      <c r="A427">
        <f t="shared" ca="1" si="36"/>
        <v>0</v>
      </c>
      <c r="C427">
        <f t="shared" ca="1" si="37"/>
        <v>0</v>
      </c>
      <c r="D427" t="s">
        <v>57</v>
      </c>
      <c r="E427" t="s">
        <v>250</v>
      </c>
      <c r="F427">
        <v>1872</v>
      </c>
      <c r="G427" t="s">
        <v>996</v>
      </c>
      <c r="H427" t="s">
        <v>997</v>
      </c>
      <c r="I427" t="s">
        <v>44</v>
      </c>
      <c r="J427" t="s">
        <v>57</v>
      </c>
      <c r="K427" t="s">
        <v>253</v>
      </c>
      <c r="L427" t="s">
        <v>998</v>
      </c>
      <c r="M427">
        <v>16000</v>
      </c>
      <c r="N427">
        <v>715</v>
      </c>
      <c r="O427">
        <v>5057233</v>
      </c>
      <c r="P427">
        <v>16242</v>
      </c>
      <c r="Q427" t="s">
        <v>999</v>
      </c>
      <c r="R427">
        <v>18399</v>
      </c>
      <c r="T427">
        <v>18399</v>
      </c>
      <c r="U427" t="s">
        <v>40</v>
      </c>
      <c r="V427" s="1">
        <v>46204</v>
      </c>
      <c r="W427" s="1">
        <v>46228</v>
      </c>
    </row>
    <row r="428" spans="1:24" x14ac:dyDescent="0.25">
      <c r="A428">
        <f t="shared" ca="1" si="36"/>
        <v>0</v>
      </c>
      <c r="C428">
        <f t="shared" ca="1" si="37"/>
        <v>0</v>
      </c>
      <c r="D428" t="s">
        <v>57</v>
      </c>
      <c r="E428" t="s">
        <v>250</v>
      </c>
      <c r="F428">
        <v>1930</v>
      </c>
      <c r="G428" t="s">
        <v>251</v>
      </c>
      <c r="H428" t="s">
        <v>1000</v>
      </c>
      <c r="I428" t="s">
        <v>44</v>
      </c>
      <c r="J428" t="s">
        <v>57</v>
      </c>
      <c r="K428" t="s">
        <v>253</v>
      </c>
      <c r="L428" t="s">
        <v>1001</v>
      </c>
      <c r="M428">
        <v>4000</v>
      </c>
      <c r="N428">
        <v>716</v>
      </c>
      <c r="O428">
        <v>5037832</v>
      </c>
      <c r="P428">
        <v>7948</v>
      </c>
      <c r="Q428" t="s">
        <v>1002</v>
      </c>
      <c r="R428">
        <v>4675</v>
      </c>
      <c r="T428">
        <v>4675</v>
      </c>
      <c r="U428" t="s">
        <v>40</v>
      </c>
      <c r="V428" s="1">
        <v>46174</v>
      </c>
      <c r="W428" s="1">
        <v>46234</v>
      </c>
    </row>
    <row r="429" spans="1:24" x14ac:dyDescent="0.25">
      <c r="A429">
        <f t="shared" ca="1" si="36"/>
        <v>0</v>
      </c>
      <c r="C429">
        <f t="shared" ca="1" si="37"/>
        <v>0</v>
      </c>
      <c r="D429" t="s">
        <v>236</v>
      </c>
      <c r="E429" t="s">
        <v>250</v>
      </c>
      <c r="F429">
        <v>1911</v>
      </c>
      <c r="G429" t="s">
        <v>996</v>
      </c>
      <c r="H429" t="s">
        <v>1003</v>
      </c>
      <c r="I429" t="s">
        <v>44</v>
      </c>
      <c r="J429" t="s">
        <v>236</v>
      </c>
      <c r="K429" t="s">
        <v>253</v>
      </c>
      <c r="L429" t="s">
        <v>1004</v>
      </c>
      <c r="M429">
        <v>11000</v>
      </c>
      <c r="N429">
        <v>717</v>
      </c>
      <c r="O429">
        <v>5084013</v>
      </c>
      <c r="P429">
        <v>6067</v>
      </c>
      <c r="Q429" t="s">
        <v>1005</v>
      </c>
      <c r="R429">
        <v>1707.2</v>
      </c>
      <c r="S429">
        <v>1707.2</v>
      </c>
      <c r="T429">
        <v>0</v>
      </c>
      <c r="U429" t="s">
        <v>34</v>
      </c>
    </row>
    <row r="430" spans="1:24" x14ac:dyDescent="0.25">
      <c r="A430">
        <f t="shared" ca="1" si="36"/>
        <v>0</v>
      </c>
      <c r="C430">
        <f t="shared" ca="1" si="37"/>
        <v>0</v>
      </c>
      <c r="D430" t="s">
        <v>57</v>
      </c>
      <c r="E430" t="s">
        <v>250</v>
      </c>
      <c r="F430">
        <v>1901</v>
      </c>
      <c r="G430" t="s">
        <v>996</v>
      </c>
      <c r="H430" t="s">
        <v>1006</v>
      </c>
      <c r="I430" t="s">
        <v>44</v>
      </c>
      <c r="J430" t="s">
        <v>57</v>
      </c>
      <c r="K430" t="s">
        <v>253</v>
      </c>
      <c r="L430" t="s">
        <v>1001</v>
      </c>
      <c r="M430">
        <v>2000</v>
      </c>
      <c r="N430">
        <v>718</v>
      </c>
      <c r="O430">
        <v>5037824</v>
      </c>
      <c r="P430">
        <v>7948</v>
      </c>
      <c r="Q430" t="s">
        <v>1002</v>
      </c>
      <c r="R430">
        <v>1815</v>
      </c>
      <c r="S430">
        <v>1815</v>
      </c>
      <c r="T430">
        <v>0</v>
      </c>
      <c r="U430" t="s">
        <v>34</v>
      </c>
      <c r="V430" s="1">
        <v>46146</v>
      </c>
      <c r="W430" s="1">
        <v>46173</v>
      </c>
    </row>
    <row r="431" spans="1:24" x14ac:dyDescent="0.25">
      <c r="A431">
        <f t="shared" ca="1" si="36"/>
        <v>0</v>
      </c>
      <c r="C431">
        <f t="shared" ca="1" si="37"/>
        <v>0</v>
      </c>
      <c r="D431" t="s">
        <v>236</v>
      </c>
      <c r="E431" t="s">
        <v>250</v>
      </c>
      <c r="F431">
        <v>1911</v>
      </c>
      <c r="G431" t="s">
        <v>996</v>
      </c>
      <c r="H431" t="s">
        <v>1003</v>
      </c>
      <c r="I431" t="s">
        <v>44</v>
      </c>
      <c r="J431" t="s">
        <v>236</v>
      </c>
      <c r="K431" t="s">
        <v>253</v>
      </c>
      <c r="L431" t="s">
        <v>1007</v>
      </c>
      <c r="M431">
        <v>11000</v>
      </c>
      <c r="N431">
        <v>719</v>
      </c>
      <c r="O431">
        <v>5112277</v>
      </c>
      <c r="P431">
        <v>6067</v>
      </c>
      <c r="Q431" t="s">
        <v>1005</v>
      </c>
      <c r="R431">
        <v>9488.6</v>
      </c>
      <c r="T431">
        <v>9488.6</v>
      </c>
    </row>
    <row r="432" spans="1:24" x14ac:dyDescent="0.25">
      <c r="A432">
        <f t="shared" ca="1" si="36"/>
        <v>0</v>
      </c>
      <c r="C432">
        <f t="shared" ca="1" si="37"/>
        <v>0</v>
      </c>
      <c r="D432" t="s">
        <v>41</v>
      </c>
      <c r="E432" t="s">
        <v>250</v>
      </c>
      <c r="F432">
        <v>1881</v>
      </c>
      <c r="G432" t="s">
        <v>996</v>
      </c>
      <c r="H432" t="s">
        <v>1008</v>
      </c>
      <c r="I432" t="s">
        <v>44</v>
      </c>
      <c r="J432" t="s">
        <v>41</v>
      </c>
      <c r="K432" t="s">
        <v>253</v>
      </c>
      <c r="L432" t="s">
        <v>1009</v>
      </c>
      <c r="M432">
        <v>8000</v>
      </c>
      <c r="N432">
        <v>720</v>
      </c>
      <c r="O432">
        <v>5033224</v>
      </c>
      <c r="P432">
        <v>6993</v>
      </c>
      <c r="Q432" t="s">
        <v>1010</v>
      </c>
      <c r="R432">
        <v>7150</v>
      </c>
      <c r="T432">
        <v>7150</v>
      </c>
    </row>
    <row r="433" spans="1:26" x14ac:dyDescent="0.25">
      <c r="A433">
        <f t="shared" ca="1" si="36"/>
        <v>0</v>
      </c>
      <c r="C433">
        <f t="shared" ca="1" si="37"/>
        <v>0</v>
      </c>
      <c r="D433" t="s">
        <v>196</v>
      </c>
      <c r="E433" t="s">
        <v>237</v>
      </c>
      <c r="F433">
        <v>354</v>
      </c>
      <c r="G433" t="s">
        <v>584</v>
      </c>
      <c r="H433" t="s">
        <v>1011</v>
      </c>
      <c r="I433" t="s">
        <v>187</v>
      </c>
      <c r="J433" t="s">
        <v>196</v>
      </c>
      <c r="K433" t="s">
        <v>240</v>
      </c>
      <c r="L433" t="s">
        <v>1012</v>
      </c>
      <c r="M433">
        <v>7000</v>
      </c>
      <c r="N433">
        <v>16</v>
      </c>
      <c r="R433">
        <v>3925.44</v>
      </c>
      <c r="S433">
        <v>3925.44</v>
      </c>
      <c r="T433">
        <v>0</v>
      </c>
      <c r="U433" t="s">
        <v>34</v>
      </c>
    </row>
    <row r="434" spans="1:26" x14ac:dyDescent="0.25">
      <c r="A434">
        <f t="shared" ca="1" si="36"/>
        <v>0</v>
      </c>
      <c r="C434">
        <f t="shared" ca="1" si="37"/>
        <v>0</v>
      </c>
      <c r="D434" t="s">
        <v>74</v>
      </c>
      <c r="E434" t="s">
        <v>58</v>
      </c>
      <c r="F434">
        <v>555</v>
      </c>
      <c r="G434" t="s">
        <v>897</v>
      </c>
      <c r="H434" t="s">
        <v>1013</v>
      </c>
      <c r="I434" t="s">
        <v>30</v>
      </c>
      <c r="J434" t="s">
        <v>74</v>
      </c>
      <c r="K434" t="s">
        <v>61</v>
      </c>
      <c r="L434" t="s">
        <v>1014</v>
      </c>
      <c r="O434">
        <v>5037479</v>
      </c>
      <c r="P434">
        <v>2427</v>
      </c>
      <c r="Q434" t="s">
        <v>1015</v>
      </c>
      <c r="R434">
        <v>13737.7</v>
      </c>
      <c r="S434">
        <v>13737.7</v>
      </c>
      <c r="T434">
        <v>0</v>
      </c>
      <c r="U434" t="s">
        <v>34</v>
      </c>
      <c r="V434" s="1">
        <v>46097</v>
      </c>
      <c r="W434" s="1">
        <v>46111</v>
      </c>
    </row>
    <row r="435" spans="1:26" x14ac:dyDescent="0.25">
      <c r="A435">
        <f t="shared" ca="1" si="36"/>
        <v>0</v>
      </c>
      <c r="C435">
        <f t="shared" ca="1" si="37"/>
        <v>0</v>
      </c>
      <c r="D435" t="s">
        <v>41</v>
      </c>
      <c r="E435" t="s">
        <v>297</v>
      </c>
      <c r="F435">
        <v>2291</v>
      </c>
      <c r="G435" t="s">
        <v>298</v>
      </c>
      <c r="H435" t="s">
        <v>1016</v>
      </c>
      <c r="I435" t="s">
        <v>44</v>
      </c>
      <c r="J435" t="s">
        <v>41</v>
      </c>
      <c r="K435" t="s">
        <v>300</v>
      </c>
      <c r="L435" t="s">
        <v>1017</v>
      </c>
      <c r="O435">
        <v>5050257</v>
      </c>
      <c r="P435">
        <v>5832</v>
      </c>
      <c r="Q435" t="s">
        <v>302</v>
      </c>
      <c r="R435">
        <v>4207.5</v>
      </c>
      <c r="S435">
        <v>4207.5</v>
      </c>
      <c r="T435">
        <v>0</v>
      </c>
      <c r="U435" t="s">
        <v>34</v>
      </c>
      <c r="V435" s="1">
        <v>46118</v>
      </c>
      <c r="W435" s="1">
        <v>46122</v>
      </c>
      <c r="X435" t="s">
        <v>1018</v>
      </c>
    </row>
    <row r="436" spans="1:26" x14ac:dyDescent="0.25">
      <c r="A436">
        <f t="shared" ca="1" si="36"/>
        <v>0</v>
      </c>
      <c r="C436">
        <f t="shared" ca="1" si="37"/>
        <v>0</v>
      </c>
      <c r="D436" t="s">
        <v>203</v>
      </c>
      <c r="E436" t="s">
        <v>27</v>
      </c>
      <c r="F436">
        <v>276</v>
      </c>
      <c r="G436" t="s">
        <v>75</v>
      </c>
      <c r="H436" t="s">
        <v>1019</v>
      </c>
      <c r="I436" t="s">
        <v>44</v>
      </c>
      <c r="J436" t="s">
        <v>203</v>
      </c>
      <c r="K436" t="s">
        <v>31</v>
      </c>
      <c r="L436" t="s">
        <v>1020</v>
      </c>
      <c r="M436">
        <v>7000</v>
      </c>
      <c r="N436">
        <v>334</v>
      </c>
      <c r="O436">
        <v>5058908</v>
      </c>
      <c r="P436">
        <v>81</v>
      </c>
      <c r="Q436" t="s">
        <v>102</v>
      </c>
      <c r="R436">
        <v>2093.98</v>
      </c>
      <c r="S436">
        <v>2093.98</v>
      </c>
      <c r="T436">
        <v>0</v>
      </c>
      <c r="U436" t="s">
        <v>34</v>
      </c>
      <c r="V436" s="1">
        <v>46142</v>
      </c>
      <c r="W436" s="1">
        <v>46172</v>
      </c>
    </row>
    <row r="437" spans="1:26" x14ac:dyDescent="0.25">
      <c r="A437">
        <f t="shared" ca="1" si="36"/>
        <v>0</v>
      </c>
      <c r="C437">
        <f t="shared" ca="1" si="37"/>
        <v>0</v>
      </c>
      <c r="D437" t="s">
        <v>355</v>
      </c>
      <c r="E437" t="s">
        <v>64</v>
      </c>
      <c r="F437">
        <v>287</v>
      </c>
      <c r="G437" t="s">
        <v>65</v>
      </c>
      <c r="H437" t="s">
        <v>1021</v>
      </c>
      <c r="I437" t="s">
        <v>30</v>
      </c>
      <c r="J437" t="s">
        <v>355</v>
      </c>
      <c r="K437" t="s">
        <v>67</v>
      </c>
      <c r="L437" t="s">
        <v>1022</v>
      </c>
      <c r="M437">
        <v>5000</v>
      </c>
      <c r="N437">
        <v>150</v>
      </c>
      <c r="O437">
        <v>5080340</v>
      </c>
      <c r="P437">
        <v>1701</v>
      </c>
      <c r="Q437" t="s">
        <v>459</v>
      </c>
      <c r="R437">
        <v>4484.7</v>
      </c>
      <c r="S437">
        <v>4484.7</v>
      </c>
      <c r="T437">
        <v>0</v>
      </c>
      <c r="U437" t="s">
        <v>40</v>
      </c>
      <c r="V437" s="1">
        <v>46178</v>
      </c>
      <c r="W437" s="1">
        <v>46180</v>
      </c>
    </row>
    <row r="438" spans="1:26" x14ac:dyDescent="0.25">
      <c r="A438">
        <f t="shared" ca="1" si="36"/>
        <v>0</v>
      </c>
      <c r="C438">
        <f t="shared" ca="1" si="37"/>
        <v>0</v>
      </c>
      <c r="D438" t="s">
        <v>41</v>
      </c>
      <c r="E438" t="s">
        <v>49</v>
      </c>
      <c r="F438">
        <v>1797</v>
      </c>
      <c r="G438" t="s">
        <v>726</v>
      </c>
      <c r="H438" t="s">
        <v>1023</v>
      </c>
      <c r="I438" t="s">
        <v>44</v>
      </c>
      <c r="J438" t="s">
        <v>41</v>
      </c>
      <c r="K438" t="s">
        <v>326</v>
      </c>
      <c r="L438" t="s">
        <v>786</v>
      </c>
      <c r="M438">
        <v>14500</v>
      </c>
      <c r="N438">
        <v>625</v>
      </c>
      <c r="O438">
        <v>5015272</v>
      </c>
      <c r="P438">
        <v>5978</v>
      </c>
      <c r="Q438" t="s">
        <v>54</v>
      </c>
      <c r="R438">
        <v>15571.8</v>
      </c>
      <c r="S438">
        <v>15571.8</v>
      </c>
      <c r="T438">
        <v>0</v>
      </c>
      <c r="U438" t="s">
        <v>34</v>
      </c>
      <c r="V438" s="1">
        <v>46083</v>
      </c>
      <c r="W438" s="1">
        <v>46136</v>
      </c>
      <c r="Y438" t="s">
        <v>104</v>
      </c>
      <c r="Z438" s="1">
        <v>46069</v>
      </c>
    </row>
    <row r="439" spans="1:26" x14ac:dyDescent="0.25">
      <c r="A439">
        <f t="shared" ca="1" si="36"/>
        <v>0</v>
      </c>
      <c r="C439">
        <f t="shared" ca="1" si="37"/>
        <v>0</v>
      </c>
      <c r="D439" t="s">
        <v>48</v>
      </c>
      <c r="E439" t="s">
        <v>184</v>
      </c>
      <c r="F439">
        <v>800</v>
      </c>
      <c r="G439" t="s">
        <v>334</v>
      </c>
      <c r="H439" t="s">
        <v>1024</v>
      </c>
      <c r="I439" t="s">
        <v>30</v>
      </c>
      <c r="J439" t="s">
        <v>48</v>
      </c>
      <c r="K439" t="s">
        <v>188</v>
      </c>
      <c r="L439" t="s">
        <v>1025</v>
      </c>
      <c r="O439">
        <v>5117814</v>
      </c>
      <c r="P439">
        <v>480</v>
      </c>
      <c r="Q439" t="s">
        <v>208</v>
      </c>
      <c r="R439">
        <v>17925.02</v>
      </c>
      <c r="T439">
        <v>17925.02</v>
      </c>
    </row>
    <row r="440" spans="1:26" x14ac:dyDescent="0.25">
      <c r="A440">
        <f t="shared" ca="1" si="36"/>
        <v>0</v>
      </c>
      <c r="C440">
        <f t="shared" ca="1" si="37"/>
        <v>0</v>
      </c>
      <c r="D440" t="s">
        <v>88</v>
      </c>
      <c r="E440" t="s">
        <v>184</v>
      </c>
      <c r="F440">
        <v>611</v>
      </c>
      <c r="G440" t="s">
        <v>185</v>
      </c>
      <c r="H440" t="s">
        <v>1026</v>
      </c>
      <c r="I440" t="s">
        <v>30</v>
      </c>
      <c r="J440" t="s">
        <v>88</v>
      </c>
      <c r="K440" t="s">
        <v>188</v>
      </c>
      <c r="L440" t="s">
        <v>1027</v>
      </c>
      <c r="P440">
        <v>932</v>
      </c>
      <c r="Q440" t="s">
        <v>1028</v>
      </c>
      <c r="R440">
        <v>799.88</v>
      </c>
      <c r="S440">
        <v>799.88</v>
      </c>
      <c r="T440">
        <v>0</v>
      </c>
      <c r="U440" t="s">
        <v>34</v>
      </c>
    </row>
    <row r="441" spans="1:26" x14ac:dyDescent="0.25">
      <c r="A441">
        <f t="shared" ca="1" si="36"/>
        <v>0</v>
      </c>
      <c r="C441">
        <f t="shared" ca="1" si="37"/>
        <v>0</v>
      </c>
      <c r="D441" t="s">
        <v>35</v>
      </c>
      <c r="E441" t="s">
        <v>184</v>
      </c>
      <c r="F441">
        <v>800</v>
      </c>
      <c r="G441" t="s">
        <v>334</v>
      </c>
      <c r="H441" t="s">
        <v>1029</v>
      </c>
      <c r="I441" t="s">
        <v>30</v>
      </c>
      <c r="J441" t="s">
        <v>35</v>
      </c>
      <c r="K441" t="s">
        <v>188</v>
      </c>
      <c r="L441" t="s">
        <v>1030</v>
      </c>
      <c r="P441">
        <v>928</v>
      </c>
      <c r="Q441" t="s">
        <v>1031</v>
      </c>
      <c r="R441">
        <v>6856.86</v>
      </c>
      <c r="S441">
        <v>6856.86</v>
      </c>
      <c r="T441">
        <v>0</v>
      </c>
      <c r="U441" t="s">
        <v>34</v>
      </c>
    </row>
    <row r="442" spans="1:26" x14ac:dyDescent="0.25">
      <c r="A442">
        <f t="shared" ca="1" si="36"/>
        <v>0</v>
      </c>
      <c r="C442">
        <f t="shared" ca="1" si="37"/>
        <v>0</v>
      </c>
      <c r="D442" t="s">
        <v>209</v>
      </c>
      <c r="E442" t="s">
        <v>184</v>
      </c>
      <c r="F442">
        <v>883</v>
      </c>
      <c r="G442" t="s">
        <v>334</v>
      </c>
      <c r="H442" t="s">
        <v>1032</v>
      </c>
      <c r="I442" t="s">
        <v>44</v>
      </c>
      <c r="J442" t="s">
        <v>209</v>
      </c>
      <c r="K442" t="s">
        <v>188</v>
      </c>
      <c r="L442" t="s">
        <v>1033</v>
      </c>
      <c r="P442">
        <v>838</v>
      </c>
      <c r="Q442" t="s">
        <v>1034</v>
      </c>
      <c r="R442">
        <v>8056.49</v>
      </c>
      <c r="S442">
        <v>8056.49</v>
      </c>
      <c r="T442">
        <v>0</v>
      </c>
      <c r="U442" t="s">
        <v>34</v>
      </c>
    </row>
    <row r="443" spans="1:26" x14ac:dyDescent="0.25">
      <c r="A443">
        <f t="shared" ca="1" si="36"/>
        <v>0</v>
      </c>
      <c r="C443">
        <f t="shared" ca="1" si="37"/>
        <v>0</v>
      </c>
      <c r="D443" t="s">
        <v>88</v>
      </c>
      <c r="E443" t="s">
        <v>184</v>
      </c>
      <c r="F443">
        <v>1290</v>
      </c>
      <c r="G443" t="s">
        <v>192</v>
      </c>
      <c r="H443" t="s">
        <v>1035</v>
      </c>
      <c r="I443" t="s">
        <v>30</v>
      </c>
      <c r="J443" t="s">
        <v>88</v>
      </c>
      <c r="K443" t="s">
        <v>188</v>
      </c>
      <c r="L443" t="s">
        <v>1036</v>
      </c>
      <c r="P443">
        <v>8342</v>
      </c>
      <c r="Q443" t="s">
        <v>1037</v>
      </c>
      <c r="R443">
        <v>5878.06</v>
      </c>
      <c r="S443">
        <v>5878.06</v>
      </c>
      <c r="T443">
        <v>0</v>
      </c>
      <c r="U443" t="s">
        <v>34</v>
      </c>
    </row>
    <row r="444" spans="1:26" x14ac:dyDescent="0.25">
      <c r="A444">
        <f t="shared" ca="1" si="36"/>
        <v>0</v>
      </c>
      <c r="C444">
        <f t="shared" ca="1" si="37"/>
        <v>0</v>
      </c>
      <c r="D444" t="s">
        <v>35</v>
      </c>
      <c r="E444" t="s">
        <v>58</v>
      </c>
      <c r="F444">
        <v>945</v>
      </c>
      <c r="G444" t="s">
        <v>1038</v>
      </c>
      <c r="H444" t="s">
        <v>1039</v>
      </c>
      <c r="I444" t="s">
        <v>30</v>
      </c>
      <c r="J444" t="s">
        <v>35</v>
      </c>
      <c r="K444" t="s">
        <v>61</v>
      </c>
      <c r="L444" t="s">
        <v>1040</v>
      </c>
      <c r="O444">
        <v>5121489</v>
      </c>
      <c r="P444">
        <v>6632</v>
      </c>
      <c r="Q444" t="s">
        <v>1041</v>
      </c>
      <c r="R444">
        <v>2576.87</v>
      </c>
      <c r="T444">
        <v>2576.87</v>
      </c>
      <c r="X444" t="s">
        <v>1042</v>
      </c>
    </row>
    <row r="445" spans="1:26" x14ac:dyDescent="0.25">
      <c r="A445">
        <f t="shared" ca="1" si="36"/>
        <v>0</v>
      </c>
      <c r="C445">
        <f t="shared" ca="1" si="37"/>
        <v>0</v>
      </c>
      <c r="D445" t="s">
        <v>221</v>
      </c>
      <c r="E445" t="s">
        <v>250</v>
      </c>
      <c r="F445">
        <v>1911</v>
      </c>
      <c r="G445" t="s">
        <v>996</v>
      </c>
      <c r="H445" t="s">
        <v>1003</v>
      </c>
      <c r="I445" t="s">
        <v>187</v>
      </c>
      <c r="J445" t="s">
        <v>221</v>
      </c>
      <c r="K445" t="s">
        <v>253</v>
      </c>
      <c r="L445" t="s">
        <v>1043</v>
      </c>
      <c r="M445">
        <v>7100</v>
      </c>
      <c r="N445">
        <v>712</v>
      </c>
      <c r="O445">
        <v>5125680</v>
      </c>
      <c r="P445">
        <v>6069</v>
      </c>
      <c r="Q445" t="s">
        <v>1044</v>
      </c>
      <c r="R445">
        <v>1870</v>
      </c>
      <c r="S445">
        <v>1870</v>
      </c>
      <c r="T445">
        <v>0</v>
      </c>
      <c r="U445" t="s">
        <v>34</v>
      </c>
    </row>
    <row r="446" spans="1:26" x14ac:dyDescent="0.25">
      <c r="A446">
        <f t="shared" ca="1" si="36"/>
        <v>0</v>
      </c>
      <c r="C446">
        <f t="shared" ca="1" si="37"/>
        <v>0</v>
      </c>
      <c r="D446" t="s">
        <v>35</v>
      </c>
      <c r="E446" t="s">
        <v>27</v>
      </c>
      <c r="F446">
        <v>224</v>
      </c>
      <c r="G446" t="s">
        <v>85</v>
      </c>
      <c r="H446" t="s">
        <v>1045</v>
      </c>
      <c r="I446" t="s">
        <v>30</v>
      </c>
      <c r="J446" t="s">
        <v>35</v>
      </c>
      <c r="K446" t="s">
        <v>31</v>
      </c>
      <c r="L446" t="s">
        <v>1046</v>
      </c>
      <c r="M446">
        <v>5000</v>
      </c>
      <c r="N446">
        <v>390</v>
      </c>
      <c r="O446">
        <v>5072235</v>
      </c>
      <c r="P446">
        <v>153</v>
      </c>
      <c r="Q446" t="s">
        <v>98</v>
      </c>
      <c r="R446">
        <v>1883.42</v>
      </c>
      <c r="T446">
        <v>1883.42</v>
      </c>
      <c r="U446" t="s">
        <v>40</v>
      </c>
      <c r="V446" s="1">
        <v>46203</v>
      </c>
      <c r="W446" s="1">
        <v>46233</v>
      </c>
    </row>
    <row r="447" spans="1:26" x14ac:dyDescent="0.25">
      <c r="A447">
        <f t="shared" ca="1" si="36"/>
        <v>0</v>
      </c>
      <c r="C447">
        <f t="shared" ca="1" si="37"/>
        <v>0</v>
      </c>
      <c r="D447" t="s">
        <v>74</v>
      </c>
      <c r="E447" t="s">
        <v>445</v>
      </c>
      <c r="F447">
        <v>2120</v>
      </c>
      <c r="G447" t="s">
        <v>521</v>
      </c>
      <c r="H447" t="s">
        <v>522</v>
      </c>
      <c r="I447" t="s">
        <v>30</v>
      </c>
      <c r="J447" t="s">
        <v>74</v>
      </c>
      <c r="K447" t="s">
        <v>448</v>
      </c>
      <c r="L447" t="s">
        <v>1047</v>
      </c>
      <c r="M447">
        <v>1000</v>
      </c>
      <c r="N447">
        <v>576</v>
      </c>
      <c r="O447">
        <v>5108854</v>
      </c>
      <c r="P447">
        <v>6142</v>
      </c>
      <c r="Q447" t="s">
        <v>1048</v>
      </c>
      <c r="R447">
        <v>468</v>
      </c>
      <c r="T447">
        <v>468</v>
      </c>
      <c r="U447" t="s">
        <v>40</v>
      </c>
      <c r="V447" s="1">
        <v>46251</v>
      </c>
      <c r="W447" s="1">
        <v>46255</v>
      </c>
      <c r="X447" t="s">
        <v>1049</v>
      </c>
    </row>
    <row r="448" spans="1:26" x14ac:dyDescent="0.25">
      <c r="A448">
        <f t="shared" ca="1" si="36"/>
        <v>0</v>
      </c>
      <c r="C448">
        <f t="shared" ca="1" si="37"/>
        <v>0</v>
      </c>
      <c r="D448" t="s">
        <v>285</v>
      </c>
      <c r="E448" t="s">
        <v>445</v>
      </c>
      <c r="F448">
        <v>1976</v>
      </c>
      <c r="G448" t="s">
        <v>518</v>
      </c>
      <c r="H448" t="s">
        <v>1050</v>
      </c>
      <c r="I448" t="s">
        <v>187</v>
      </c>
      <c r="J448" t="s">
        <v>285</v>
      </c>
      <c r="K448" t="s">
        <v>448</v>
      </c>
      <c r="L448" t="s">
        <v>1051</v>
      </c>
      <c r="M448">
        <v>2000</v>
      </c>
      <c r="N448">
        <v>531</v>
      </c>
      <c r="X448" t="s">
        <v>686</v>
      </c>
    </row>
    <row r="450" spans="1:26" x14ac:dyDescent="0.25">
      <c r="A450">
        <f t="shared" ref="A450:A455" ca="1" si="38">+ Cmde</f>
        <v>0</v>
      </c>
      <c r="C450">
        <f t="shared" ref="C450:C455" ca="1" si="39">+ Devis</f>
        <v>0</v>
      </c>
      <c r="D450" t="s">
        <v>355</v>
      </c>
      <c r="E450" t="s">
        <v>445</v>
      </c>
      <c r="F450">
        <v>2021</v>
      </c>
      <c r="G450" t="s">
        <v>521</v>
      </c>
      <c r="H450" t="s">
        <v>542</v>
      </c>
      <c r="I450" t="s">
        <v>30</v>
      </c>
      <c r="J450" t="s">
        <v>355</v>
      </c>
      <c r="K450" t="s">
        <v>448</v>
      </c>
      <c r="L450" t="s">
        <v>1052</v>
      </c>
      <c r="M450">
        <v>3000</v>
      </c>
      <c r="N450">
        <v>568</v>
      </c>
      <c r="O450">
        <v>5120578</v>
      </c>
      <c r="P450">
        <v>8168</v>
      </c>
      <c r="Q450" t="s">
        <v>385</v>
      </c>
      <c r="R450">
        <v>2555.94</v>
      </c>
      <c r="T450">
        <v>2555.94</v>
      </c>
      <c r="X450" t="s">
        <v>1053</v>
      </c>
    </row>
    <row r="451" spans="1:26" x14ac:dyDescent="0.25">
      <c r="A451">
        <f t="shared" ca="1" si="38"/>
        <v>0</v>
      </c>
      <c r="C451">
        <f t="shared" ca="1" si="39"/>
        <v>0</v>
      </c>
      <c r="D451" t="s">
        <v>35</v>
      </c>
      <c r="E451" t="s">
        <v>58</v>
      </c>
      <c r="F451">
        <v>2203</v>
      </c>
      <c r="G451" t="s">
        <v>426</v>
      </c>
      <c r="H451" t="s">
        <v>1054</v>
      </c>
      <c r="I451" t="s">
        <v>30</v>
      </c>
      <c r="J451" t="s">
        <v>35</v>
      </c>
      <c r="K451" t="s">
        <v>61</v>
      </c>
      <c r="L451" t="s">
        <v>1055</v>
      </c>
      <c r="O451">
        <v>5016322</v>
      </c>
      <c r="P451">
        <v>1</v>
      </c>
      <c r="Q451" t="s">
        <v>636</v>
      </c>
      <c r="R451">
        <v>2626.8</v>
      </c>
      <c r="S451">
        <v>2626.8</v>
      </c>
      <c r="T451">
        <v>0</v>
      </c>
      <c r="U451" t="s">
        <v>34</v>
      </c>
      <c r="X451" t="s">
        <v>1056</v>
      </c>
    </row>
    <row r="452" spans="1:26" x14ac:dyDescent="0.25">
      <c r="A452">
        <f t="shared" ca="1" si="38"/>
        <v>0</v>
      </c>
      <c r="C452">
        <f t="shared" ca="1" si="39"/>
        <v>0</v>
      </c>
      <c r="D452" t="s">
        <v>209</v>
      </c>
      <c r="E452" t="s">
        <v>58</v>
      </c>
      <c r="F452">
        <v>46</v>
      </c>
      <c r="G452" t="s">
        <v>747</v>
      </c>
      <c r="H452" t="s">
        <v>1057</v>
      </c>
      <c r="I452" t="s">
        <v>44</v>
      </c>
      <c r="J452" t="s">
        <v>209</v>
      </c>
      <c r="K452" t="s">
        <v>61</v>
      </c>
      <c r="L452" t="s">
        <v>1058</v>
      </c>
      <c r="M452">
        <v>8000</v>
      </c>
      <c r="N452">
        <v>210</v>
      </c>
      <c r="O452">
        <v>5016362</v>
      </c>
      <c r="P452">
        <v>7431</v>
      </c>
      <c r="Q452" t="s">
        <v>121</v>
      </c>
      <c r="R452">
        <v>10626</v>
      </c>
      <c r="T452">
        <v>10626</v>
      </c>
      <c r="U452" t="s">
        <v>107</v>
      </c>
      <c r="V452" s="1">
        <v>46293</v>
      </c>
      <c r="W452" s="1">
        <v>46294</v>
      </c>
      <c r="X452" t="s">
        <v>593</v>
      </c>
      <c r="Y452" t="s">
        <v>104</v>
      </c>
      <c r="Z452" s="1">
        <v>46181</v>
      </c>
    </row>
    <row r="453" spans="1:26" x14ac:dyDescent="0.25">
      <c r="A453">
        <f t="shared" ca="1" si="38"/>
        <v>0</v>
      </c>
      <c r="C453">
        <f t="shared" ca="1" si="39"/>
        <v>0</v>
      </c>
      <c r="D453" t="s">
        <v>285</v>
      </c>
      <c r="E453" t="s">
        <v>49</v>
      </c>
      <c r="F453">
        <v>1552</v>
      </c>
      <c r="G453" t="s">
        <v>263</v>
      </c>
      <c r="H453" t="s">
        <v>1059</v>
      </c>
      <c r="I453" t="s">
        <v>187</v>
      </c>
      <c r="J453" t="s">
        <v>285</v>
      </c>
      <c r="K453" t="s">
        <v>52</v>
      </c>
      <c r="L453" t="s">
        <v>1060</v>
      </c>
      <c r="M453">
        <v>5000</v>
      </c>
      <c r="N453">
        <v>656</v>
      </c>
      <c r="O453">
        <v>5032187</v>
      </c>
      <c r="P453">
        <v>166</v>
      </c>
      <c r="Q453" t="s">
        <v>681</v>
      </c>
      <c r="R453">
        <v>4389.4399999999996</v>
      </c>
      <c r="S453">
        <v>4389.4399999999996</v>
      </c>
      <c r="T453">
        <v>0</v>
      </c>
      <c r="U453" t="s">
        <v>34</v>
      </c>
      <c r="V453" s="1">
        <v>46104</v>
      </c>
      <c r="W453" s="1">
        <v>46108</v>
      </c>
    </row>
    <row r="454" spans="1:26" x14ac:dyDescent="0.25">
      <c r="A454">
        <f t="shared" ca="1" si="38"/>
        <v>0</v>
      </c>
      <c r="C454">
        <f t="shared" ca="1" si="39"/>
        <v>0</v>
      </c>
      <c r="D454" t="s">
        <v>95</v>
      </c>
      <c r="E454" t="s">
        <v>58</v>
      </c>
      <c r="F454">
        <v>9014</v>
      </c>
      <c r="G454" t="s">
        <v>224</v>
      </c>
      <c r="H454" t="s">
        <v>1061</v>
      </c>
      <c r="I454" t="s">
        <v>30</v>
      </c>
      <c r="J454" t="s">
        <v>95</v>
      </c>
      <c r="K454" t="s">
        <v>61</v>
      </c>
      <c r="L454" t="s">
        <v>1062</v>
      </c>
      <c r="O454">
        <v>5033541</v>
      </c>
      <c r="P454">
        <v>6168</v>
      </c>
      <c r="Q454" t="s">
        <v>1063</v>
      </c>
    </row>
    <row r="455" spans="1:26" x14ac:dyDescent="0.25">
      <c r="A455">
        <f t="shared" ca="1" si="38"/>
        <v>0</v>
      </c>
      <c r="C455">
        <f t="shared" ca="1" si="39"/>
        <v>0</v>
      </c>
      <c r="D455" t="s">
        <v>26</v>
      </c>
      <c r="E455" t="s">
        <v>58</v>
      </c>
      <c r="F455">
        <v>350</v>
      </c>
      <c r="G455" t="s">
        <v>213</v>
      </c>
      <c r="H455" t="s">
        <v>1064</v>
      </c>
      <c r="I455" t="s">
        <v>30</v>
      </c>
      <c r="J455" t="s">
        <v>26</v>
      </c>
      <c r="K455" t="s">
        <v>215</v>
      </c>
      <c r="L455" t="s">
        <v>1065</v>
      </c>
      <c r="M455">
        <v>8000</v>
      </c>
      <c r="N455">
        <v>249</v>
      </c>
      <c r="O455">
        <v>5038816</v>
      </c>
      <c r="P455">
        <v>4551</v>
      </c>
      <c r="Q455" t="s">
        <v>461</v>
      </c>
      <c r="R455">
        <v>8675.3700000000008</v>
      </c>
      <c r="S455">
        <v>8675.3700000000008</v>
      </c>
      <c r="T455">
        <v>0</v>
      </c>
      <c r="U455" t="s">
        <v>34</v>
      </c>
      <c r="X455" t="s">
        <v>1066</v>
      </c>
    </row>
    <row r="456" spans="1:26" x14ac:dyDescent="0.25">
      <c r="A456" t="s">
        <v>1067</v>
      </c>
    </row>
    <row r="457" spans="1:26" x14ac:dyDescent="0.25">
      <c r="A457">
        <f t="shared" ref="A457:A481" ca="1" si="40">+ Cmde</f>
        <v>0</v>
      </c>
      <c r="C457">
        <f t="shared" ref="C457:C481" ca="1" si="41">+ Devis</f>
        <v>0</v>
      </c>
      <c r="D457" t="s">
        <v>196</v>
      </c>
      <c r="E457" t="s">
        <v>27</v>
      </c>
      <c r="F457">
        <v>194</v>
      </c>
      <c r="G457" t="s">
        <v>70</v>
      </c>
      <c r="H457" t="s">
        <v>1068</v>
      </c>
      <c r="I457" t="s">
        <v>187</v>
      </c>
      <c r="J457" t="s">
        <v>196</v>
      </c>
      <c r="K457" t="s">
        <v>31</v>
      </c>
      <c r="L457" t="s">
        <v>1069</v>
      </c>
      <c r="M457">
        <v>7000</v>
      </c>
      <c r="N457">
        <v>302</v>
      </c>
      <c r="O457">
        <v>5044783</v>
      </c>
      <c r="P457">
        <v>6787</v>
      </c>
      <c r="Q457" t="s">
        <v>33</v>
      </c>
      <c r="R457">
        <v>1498.42</v>
      </c>
      <c r="S457">
        <v>1498.42</v>
      </c>
      <c r="T457">
        <v>0</v>
      </c>
      <c r="U457" t="s">
        <v>34</v>
      </c>
      <c r="V457" s="1">
        <v>46090</v>
      </c>
      <c r="W457" s="1">
        <v>46093</v>
      </c>
      <c r="Y457" t="s">
        <v>47</v>
      </c>
      <c r="Z457" s="1">
        <v>46111</v>
      </c>
    </row>
    <row r="458" spans="1:26" x14ac:dyDescent="0.25">
      <c r="A458">
        <f t="shared" ca="1" si="40"/>
        <v>0</v>
      </c>
      <c r="C458">
        <f t="shared" ca="1" si="41"/>
        <v>0</v>
      </c>
      <c r="D458" t="s">
        <v>355</v>
      </c>
      <c r="E458" t="s">
        <v>237</v>
      </c>
      <c r="F458">
        <v>441</v>
      </c>
      <c r="G458" t="s">
        <v>884</v>
      </c>
      <c r="H458" t="s">
        <v>1070</v>
      </c>
      <c r="I458" t="s">
        <v>30</v>
      </c>
      <c r="J458" t="s">
        <v>355</v>
      </c>
      <c r="K458" t="s">
        <v>240</v>
      </c>
      <c r="L458" t="s">
        <v>1071</v>
      </c>
      <c r="M458">
        <v>20000</v>
      </c>
      <c r="N458">
        <v>83</v>
      </c>
      <c r="O458">
        <v>5044955</v>
      </c>
      <c r="P458">
        <v>6985</v>
      </c>
      <c r="Q458" t="s">
        <v>587</v>
      </c>
      <c r="R458">
        <v>14887.79</v>
      </c>
      <c r="S458">
        <v>14887.79</v>
      </c>
      <c r="T458">
        <v>0</v>
      </c>
      <c r="U458" t="s">
        <v>34</v>
      </c>
    </row>
    <row r="459" spans="1:26" x14ac:dyDescent="0.25">
      <c r="A459">
        <f t="shared" ca="1" si="40"/>
        <v>0</v>
      </c>
      <c r="C459">
        <f t="shared" ca="1" si="41"/>
        <v>0</v>
      </c>
      <c r="D459" t="s">
        <v>26</v>
      </c>
      <c r="E459" t="s">
        <v>27</v>
      </c>
      <c r="F459">
        <v>2160</v>
      </c>
      <c r="G459" t="s">
        <v>28</v>
      </c>
      <c r="H459" t="s">
        <v>1072</v>
      </c>
      <c r="I459" t="s">
        <v>30</v>
      </c>
      <c r="J459" t="s">
        <v>26</v>
      </c>
      <c r="K459" t="s">
        <v>31</v>
      </c>
      <c r="L459" t="s">
        <v>1073</v>
      </c>
      <c r="O459">
        <v>5045112</v>
      </c>
      <c r="P459">
        <v>4551</v>
      </c>
      <c r="Q459" t="s">
        <v>461</v>
      </c>
      <c r="R459">
        <v>2770.57</v>
      </c>
      <c r="S459">
        <v>2770.57</v>
      </c>
      <c r="T459">
        <v>0</v>
      </c>
      <c r="U459" t="s">
        <v>34</v>
      </c>
      <c r="V459" s="1">
        <v>46127</v>
      </c>
      <c r="W459" s="1">
        <v>46142</v>
      </c>
    </row>
    <row r="460" spans="1:26" x14ac:dyDescent="0.25">
      <c r="A460">
        <f t="shared" ca="1" si="40"/>
        <v>0</v>
      </c>
      <c r="C460">
        <f t="shared" ca="1" si="41"/>
        <v>0</v>
      </c>
      <c r="D460" t="s">
        <v>26</v>
      </c>
      <c r="E460" t="s">
        <v>27</v>
      </c>
      <c r="F460">
        <v>741</v>
      </c>
      <c r="G460" t="s">
        <v>42</v>
      </c>
      <c r="H460" t="s">
        <v>1074</v>
      </c>
      <c r="I460" t="s">
        <v>30</v>
      </c>
      <c r="J460" t="s">
        <v>26</v>
      </c>
      <c r="K460" t="s">
        <v>31</v>
      </c>
      <c r="L460" t="s">
        <v>1075</v>
      </c>
      <c r="M460">
        <v>7000</v>
      </c>
      <c r="N460">
        <v>403</v>
      </c>
      <c r="O460">
        <v>5045128</v>
      </c>
      <c r="P460">
        <v>5197</v>
      </c>
      <c r="Q460" t="s">
        <v>132</v>
      </c>
      <c r="R460">
        <v>7166.5</v>
      </c>
      <c r="T460">
        <v>7166.5</v>
      </c>
      <c r="U460" t="s">
        <v>40</v>
      </c>
      <c r="V460" s="1">
        <v>46235</v>
      </c>
      <c r="W460" s="1">
        <v>46266</v>
      </c>
      <c r="Y460" t="s">
        <v>47</v>
      </c>
      <c r="Z460" s="1">
        <v>46190</v>
      </c>
    </row>
    <row r="461" spans="1:26" x14ac:dyDescent="0.25">
      <c r="A461">
        <f t="shared" ca="1" si="40"/>
        <v>0</v>
      </c>
      <c r="C461">
        <f t="shared" ca="1" si="41"/>
        <v>0</v>
      </c>
      <c r="D461" t="s">
        <v>35</v>
      </c>
      <c r="E461" t="s">
        <v>27</v>
      </c>
      <c r="F461">
        <v>404</v>
      </c>
      <c r="G461" t="s">
        <v>28</v>
      </c>
      <c r="H461" t="s">
        <v>1076</v>
      </c>
      <c r="I461" t="s">
        <v>30</v>
      </c>
      <c r="J461" t="s">
        <v>35</v>
      </c>
      <c r="K461" t="s">
        <v>31</v>
      </c>
      <c r="L461" t="s">
        <v>1077</v>
      </c>
      <c r="O461">
        <v>5050719</v>
      </c>
      <c r="P461">
        <v>6455</v>
      </c>
      <c r="Q461" t="s">
        <v>39</v>
      </c>
      <c r="R461">
        <v>2879.84</v>
      </c>
      <c r="T461">
        <v>2879.84</v>
      </c>
      <c r="U461" t="s">
        <v>40</v>
      </c>
      <c r="V461" s="1">
        <v>46106</v>
      </c>
      <c r="W461" s="1">
        <v>46111</v>
      </c>
    </row>
    <row r="462" spans="1:26" x14ac:dyDescent="0.25">
      <c r="A462">
        <f t="shared" ca="1" si="40"/>
        <v>0</v>
      </c>
      <c r="C462">
        <f t="shared" ca="1" si="41"/>
        <v>0</v>
      </c>
      <c r="D462" t="s">
        <v>35</v>
      </c>
      <c r="E462" t="s">
        <v>27</v>
      </c>
      <c r="F462">
        <v>371</v>
      </c>
      <c r="G462" t="s">
        <v>1078</v>
      </c>
      <c r="H462" t="s">
        <v>1079</v>
      </c>
      <c r="I462" t="s">
        <v>30</v>
      </c>
      <c r="J462" t="s">
        <v>35</v>
      </c>
      <c r="K462" t="s">
        <v>31</v>
      </c>
      <c r="L462" t="s">
        <v>1080</v>
      </c>
      <c r="O462">
        <v>5050724</v>
      </c>
      <c r="P462">
        <v>3718</v>
      </c>
      <c r="Q462" t="s">
        <v>113</v>
      </c>
      <c r="R462">
        <v>4799.0600000000004</v>
      </c>
      <c r="S462">
        <v>4799.0600000000004</v>
      </c>
      <c r="T462">
        <v>0</v>
      </c>
      <c r="U462" t="s">
        <v>34</v>
      </c>
      <c r="V462" s="1">
        <v>46111</v>
      </c>
      <c r="W462" s="1">
        <v>46127</v>
      </c>
    </row>
    <row r="463" spans="1:26" x14ac:dyDescent="0.25">
      <c r="A463">
        <f t="shared" ca="1" si="40"/>
        <v>0</v>
      </c>
      <c r="C463">
        <f t="shared" ca="1" si="41"/>
        <v>0</v>
      </c>
      <c r="D463" t="s">
        <v>196</v>
      </c>
      <c r="E463" t="s">
        <v>27</v>
      </c>
      <c r="F463">
        <v>785</v>
      </c>
      <c r="G463" t="s">
        <v>36</v>
      </c>
      <c r="H463" t="s">
        <v>1081</v>
      </c>
      <c r="I463" t="s">
        <v>187</v>
      </c>
      <c r="J463" t="s">
        <v>196</v>
      </c>
      <c r="K463" t="s">
        <v>31</v>
      </c>
      <c r="L463" t="s">
        <v>1082</v>
      </c>
      <c r="M463">
        <v>8000</v>
      </c>
      <c r="N463">
        <v>322</v>
      </c>
      <c r="O463">
        <v>5073362</v>
      </c>
      <c r="P463">
        <v>17442</v>
      </c>
      <c r="Q463" t="s">
        <v>913</v>
      </c>
      <c r="R463">
        <v>7238</v>
      </c>
      <c r="T463">
        <v>7238</v>
      </c>
      <c r="U463" t="s">
        <v>40</v>
      </c>
      <c r="V463" s="1">
        <v>46174</v>
      </c>
      <c r="W463" s="1">
        <v>46204</v>
      </c>
    </row>
    <row r="464" spans="1:26" x14ac:dyDescent="0.25">
      <c r="A464">
        <f t="shared" ca="1" si="40"/>
        <v>0</v>
      </c>
      <c r="C464">
        <f t="shared" ca="1" si="41"/>
        <v>0</v>
      </c>
      <c r="D464" t="s">
        <v>196</v>
      </c>
      <c r="E464" t="s">
        <v>64</v>
      </c>
      <c r="F464">
        <v>119</v>
      </c>
      <c r="G464" t="s">
        <v>588</v>
      </c>
      <c r="H464" t="s">
        <v>1083</v>
      </c>
      <c r="I464" t="s">
        <v>187</v>
      </c>
      <c r="J464" t="s">
        <v>196</v>
      </c>
      <c r="K464" t="s">
        <v>67</v>
      </c>
      <c r="L464" t="s">
        <v>1084</v>
      </c>
      <c r="M464">
        <v>5000</v>
      </c>
      <c r="N464">
        <v>90</v>
      </c>
      <c r="O464">
        <v>5082418</v>
      </c>
      <c r="P464">
        <v>1971</v>
      </c>
      <c r="Q464" t="s">
        <v>429</v>
      </c>
      <c r="R464">
        <v>1740</v>
      </c>
      <c r="S464">
        <v>1740</v>
      </c>
      <c r="T464">
        <v>0</v>
      </c>
      <c r="U464" t="s">
        <v>34</v>
      </c>
      <c r="V464" s="1">
        <v>46181</v>
      </c>
      <c r="W464" s="1">
        <v>46188</v>
      </c>
    </row>
    <row r="465" spans="1:24" x14ac:dyDescent="0.25">
      <c r="A465">
        <f t="shared" ca="1" si="40"/>
        <v>0</v>
      </c>
      <c r="C465">
        <f t="shared" ca="1" si="41"/>
        <v>0</v>
      </c>
      <c r="D465" t="s">
        <v>285</v>
      </c>
      <c r="E465" t="s">
        <v>49</v>
      </c>
      <c r="F465">
        <v>1609</v>
      </c>
      <c r="G465" t="s">
        <v>689</v>
      </c>
      <c r="H465" t="s">
        <v>1085</v>
      </c>
      <c r="I465" t="s">
        <v>187</v>
      </c>
      <c r="J465" t="s">
        <v>285</v>
      </c>
      <c r="K465" t="s">
        <v>52</v>
      </c>
      <c r="L465" t="s">
        <v>1086</v>
      </c>
      <c r="O465">
        <v>5105194</v>
      </c>
      <c r="P465">
        <v>6810</v>
      </c>
      <c r="Q465" t="s">
        <v>765</v>
      </c>
      <c r="U465" t="s">
        <v>34</v>
      </c>
    </row>
    <row r="466" spans="1:24" x14ac:dyDescent="0.25">
      <c r="A466">
        <f t="shared" ca="1" si="40"/>
        <v>0</v>
      </c>
      <c r="C466">
        <f t="shared" ca="1" si="41"/>
        <v>0</v>
      </c>
      <c r="D466" t="s">
        <v>41</v>
      </c>
      <c r="E466" t="s">
        <v>250</v>
      </c>
      <c r="F466">
        <v>1884</v>
      </c>
      <c r="G466" t="s">
        <v>251</v>
      </c>
      <c r="H466" t="s">
        <v>1087</v>
      </c>
      <c r="I466" t="s">
        <v>44</v>
      </c>
      <c r="J466" t="s">
        <v>41</v>
      </c>
      <c r="K466" t="s">
        <v>253</v>
      </c>
      <c r="L466" t="s">
        <v>1009</v>
      </c>
      <c r="M466">
        <v>4800</v>
      </c>
      <c r="N466">
        <v>721</v>
      </c>
      <c r="O466">
        <v>5033209</v>
      </c>
      <c r="P466">
        <v>6993</v>
      </c>
      <c r="Q466" t="s">
        <v>1010</v>
      </c>
      <c r="R466">
        <v>4818</v>
      </c>
      <c r="S466">
        <v>4818</v>
      </c>
      <c r="T466">
        <v>0</v>
      </c>
      <c r="U466" t="s">
        <v>34</v>
      </c>
      <c r="V466" s="1">
        <v>46209</v>
      </c>
      <c r="W466" s="1">
        <v>46216</v>
      </c>
    </row>
    <row r="467" spans="1:24" x14ac:dyDescent="0.25">
      <c r="A467">
        <f t="shared" ca="1" si="40"/>
        <v>0</v>
      </c>
      <c r="C467">
        <f t="shared" ca="1" si="41"/>
        <v>0</v>
      </c>
      <c r="D467" t="s">
        <v>41</v>
      </c>
      <c r="E467" t="s">
        <v>250</v>
      </c>
      <c r="F467">
        <v>1885</v>
      </c>
      <c r="G467" t="s">
        <v>251</v>
      </c>
      <c r="H467" t="s">
        <v>252</v>
      </c>
      <c r="I467" t="s">
        <v>44</v>
      </c>
      <c r="J467" t="s">
        <v>41</v>
      </c>
      <c r="K467" t="s">
        <v>253</v>
      </c>
      <c r="L467" t="s">
        <v>1009</v>
      </c>
      <c r="M467">
        <v>9500</v>
      </c>
      <c r="N467">
        <v>722</v>
      </c>
      <c r="O467">
        <v>5033193</v>
      </c>
      <c r="P467">
        <v>6993</v>
      </c>
      <c r="Q467" t="s">
        <v>1010</v>
      </c>
      <c r="R467">
        <v>9240</v>
      </c>
      <c r="S467">
        <v>9240</v>
      </c>
      <c r="T467">
        <v>0</v>
      </c>
      <c r="U467" t="s">
        <v>34</v>
      </c>
      <c r="V467" s="1">
        <v>46204</v>
      </c>
      <c r="W467" s="1">
        <v>46213</v>
      </c>
    </row>
    <row r="468" spans="1:24" x14ac:dyDescent="0.25">
      <c r="A468">
        <f t="shared" ca="1" si="40"/>
        <v>0</v>
      </c>
      <c r="C468">
        <f t="shared" ca="1" si="41"/>
        <v>0</v>
      </c>
      <c r="D468" t="s">
        <v>41</v>
      </c>
      <c r="E468" t="s">
        <v>250</v>
      </c>
      <c r="F468">
        <v>1908</v>
      </c>
      <c r="G468" t="s">
        <v>251</v>
      </c>
      <c r="H468" t="s">
        <v>1088</v>
      </c>
      <c r="I468" t="s">
        <v>44</v>
      </c>
      <c r="J468" t="s">
        <v>41</v>
      </c>
      <c r="K468" t="s">
        <v>253</v>
      </c>
      <c r="L468" t="s">
        <v>1089</v>
      </c>
      <c r="M468">
        <v>3700</v>
      </c>
      <c r="N468">
        <v>723</v>
      </c>
      <c r="O468">
        <v>5064058</v>
      </c>
      <c r="P468">
        <v>6993</v>
      </c>
      <c r="Q468" t="s">
        <v>1010</v>
      </c>
      <c r="R468">
        <v>1199</v>
      </c>
      <c r="S468">
        <v>1199</v>
      </c>
      <c r="T468">
        <v>0</v>
      </c>
      <c r="U468" t="s">
        <v>34</v>
      </c>
      <c r="V468" s="1">
        <v>46134</v>
      </c>
      <c r="W468" s="1">
        <v>46142</v>
      </c>
    </row>
    <row r="469" spans="1:24" x14ac:dyDescent="0.25">
      <c r="A469">
        <f t="shared" ca="1" si="40"/>
        <v>0</v>
      </c>
      <c r="C469">
        <f t="shared" ca="1" si="41"/>
        <v>0</v>
      </c>
      <c r="D469" t="s">
        <v>88</v>
      </c>
      <c r="E469" t="s">
        <v>250</v>
      </c>
      <c r="F469">
        <v>1911</v>
      </c>
      <c r="G469" t="s">
        <v>996</v>
      </c>
      <c r="H469" t="s">
        <v>1003</v>
      </c>
      <c r="I469" t="s">
        <v>30</v>
      </c>
      <c r="J469" t="s">
        <v>88</v>
      </c>
      <c r="K469" t="s">
        <v>253</v>
      </c>
      <c r="L469" t="s">
        <v>1090</v>
      </c>
      <c r="M469">
        <v>16000</v>
      </c>
      <c r="N469">
        <v>724</v>
      </c>
      <c r="O469">
        <v>5057244</v>
      </c>
      <c r="P469">
        <v>6993</v>
      </c>
      <c r="Q469" t="s">
        <v>1010</v>
      </c>
      <c r="R469">
        <v>16541.8</v>
      </c>
      <c r="S469">
        <v>16541.8</v>
      </c>
      <c r="T469">
        <v>0</v>
      </c>
      <c r="U469" t="s">
        <v>34</v>
      </c>
      <c r="V469" s="1">
        <v>46204</v>
      </c>
      <c r="W469" s="1">
        <v>46264</v>
      </c>
    </row>
    <row r="470" spans="1:24" x14ac:dyDescent="0.25">
      <c r="A470">
        <f t="shared" ca="1" si="40"/>
        <v>0</v>
      </c>
      <c r="C470">
        <f t="shared" ca="1" si="41"/>
        <v>0</v>
      </c>
      <c r="D470" t="s">
        <v>26</v>
      </c>
      <c r="E470" t="s">
        <v>250</v>
      </c>
      <c r="F470">
        <v>1885</v>
      </c>
      <c r="G470" t="s">
        <v>251</v>
      </c>
      <c r="H470" t="s">
        <v>252</v>
      </c>
      <c r="I470" t="s">
        <v>30</v>
      </c>
      <c r="J470" t="s">
        <v>26</v>
      </c>
      <c r="K470" t="s">
        <v>253</v>
      </c>
      <c r="L470" t="s">
        <v>1091</v>
      </c>
      <c r="M470">
        <v>11000</v>
      </c>
      <c r="N470">
        <v>725</v>
      </c>
      <c r="O470">
        <v>5040968</v>
      </c>
      <c r="P470">
        <v>4856</v>
      </c>
      <c r="Q470" t="s">
        <v>1092</v>
      </c>
      <c r="R470">
        <v>11077.5</v>
      </c>
      <c r="S470">
        <v>11077.5</v>
      </c>
      <c r="T470">
        <v>0</v>
      </c>
      <c r="U470" t="s">
        <v>34</v>
      </c>
      <c r="V470" s="1">
        <v>46174</v>
      </c>
      <c r="W470" s="1">
        <v>46189</v>
      </c>
    </row>
    <row r="471" spans="1:24" x14ac:dyDescent="0.25">
      <c r="A471">
        <f t="shared" ca="1" si="40"/>
        <v>0</v>
      </c>
      <c r="C471">
        <f t="shared" ca="1" si="41"/>
        <v>0</v>
      </c>
      <c r="D471" t="s">
        <v>355</v>
      </c>
      <c r="E471" t="s">
        <v>250</v>
      </c>
      <c r="F471">
        <v>1875</v>
      </c>
      <c r="G471" t="s">
        <v>996</v>
      </c>
      <c r="H471" t="s">
        <v>1093</v>
      </c>
      <c r="I471" t="s">
        <v>30</v>
      </c>
      <c r="J471" t="s">
        <v>355</v>
      </c>
      <c r="K471" t="s">
        <v>253</v>
      </c>
      <c r="L471" t="s">
        <v>1094</v>
      </c>
      <c r="M471">
        <v>7000</v>
      </c>
      <c r="N471">
        <v>726</v>
      </c>
      <c r="O471">
        <v>5026889</v>
      </c>
      <c r="P471">
        <v>7998</v>
      </c>
      <c r="Q471" t="s">
        <v>1095</v>
      </c>
      <c r="R471">
        <v>6586.25</v>
      </c>
      <c r="S471">
        <v>6586.25</v>
      </c>
      <c r="T471">
        <v>0</v>
      </c>
      <c r="U471" t="s">
        <v>34</v>
      </c>
      <c r="V471" s="1">
        <v>46082</v>
      </c>
      <c r="W471" s="1">
        <v>46096</v>
      </c>
    </row>
    <row r="472" spans="1:24" x14ac:dyDescent="0.25">
      <c r="A472">
        <f t="shared" ca="1" si="40"/>
        <v>0</v>
      </c>
      <c r="C472">
        <f t="shared" ca="1" si="41"/>
        <v>0</v>
      </c>
      <c r="D472" t="s">
        <v>355</v>
      </c>
      <c r="E472" t="s">
        <v>250</v>
      </c>
      <c r="F472">
        <v>1909</v>
      </c>
      <c r="G472" t="s">
        <v>251</v>
      </c>
      <c r="H472" t="s">
        <v>1096</v>
      </c>
      <c r="I472" t="s">
        <v>30</v>
      </c>
      <c r="J472" t="s">
        <v>355</v>
      </c>
      <c r="K472" t="s">
        <v>253</v>
      </c>
      <c r="L472" t="s">
        <v>1097</v>
      </c>
      <c r="M472">
        <v>10000</v>
      </c>
      <c r="N472">
        <v>727</v>
      </c>
    </row>
    <row r="473" spans="1:24" x14ac:dyDescent="0.25">
      <c r="A473">
        <f t="shared" ca="1" si="40"/>
        <v>0</v>
      </c>
      <c r="C473">
        <f t="shared" ca="1" si="41"/>
        <v>0</v>
      </c>
      <c r="D473" t="s">
        <v>95</v>
      </c>
      <c r="E473" t="s">
        <v>250</v>
      </c>
      <c r="F473">
        <v>1867</v>
      </c>
      <c r="G473" t="s">
        <v>251</v>
      </c>
      <c r="H473" t="s">
        <v>1098</v>
      </c>
      <c r="I473" t="s">
        <v>30</v>
      </c>
      <c r="J473" t="s">
        <v>95</v>
      </c>
      <c r="K473" t="s">
        <v>253</v>
      </c>
      <c r="L473" t="s">
        <v>1004</v>
      </c>
      <c r="M473">
        <v>11000</v>
      </c>
      <c r="N473">
        <v>728</v>
      </c>
      <c r="O473">
        <v>5022103</v>
      </c>
      <c r="P473">
        <v>6761</v>
      </c>
      <c r="Q473" t="s">
        <v>255</v>
      </c>
      <c r="R473">
        <v>10502.8</v>
      </c>
      <c r="S473">
        <v>10502.8</v>
      </c>
      <c r="T473">
        <v>0</v>
      </c>
      <c r="U473" t="s">
        <v>34</v>
      </c>
      <c r="V473" s="1">
        <v>46054</v>
      </c>
      <c r="W473" s="1">
        <v>46081</v>
      </c>
    </row>
    <row r="474" spans="1:24" x14ac:dyDescent="0.25">
      <c r="A474">
        <f t="shared" ca="1" si="40"/>
        <v>0</v>
      </c>
      <c r="C474">
        <f t="shared" ca="1" si="41"/>
        <v>0</v>
      </c>
      <c r="D474" t="s">
        <v>95</v>
      </c>
      <c r="E474" t="s">
        <v>250</v>
      </c>
      <c r="F474">
        <v>1869</v>
      </c>
      <c r="G474" t="s">
        <v>251</v>
      </c>
      <c r="H474" t="s">
        <v>1099</v>
      </c>
      <c r="I474" t="s">
        <v>30</v>
      </c>
      <c r="J474" t="s">
        <v>95</v>
      </c>
      <c r="K474" t="s">
        <v>253</v>
      </c>
      <c r="L474" t="s">
        <v>254</v>
      </c>
      <c r="M474">
        <v>5500</v>
      </c>
      <c r="N474">
        <v>729</v>
      </c>
      <c r="O474">
        <v>5023342</v>
      </c>
      <c r="P474">
        <v>6067</v>
      </c>
      <c r="Q474" t="s">
        <v>1005</v>
      </c>
      <c r="R474">
        <v>5669.4</v>
      </c>
      <c r="S474">
        <v>5669.4</v>
      </c>
      <c r="T474">
        <v>0</v>
      </c>
      <c r="U474" t="s">
        <v>34</v>
      </c>
      <c r="V474" s="1">
        <v>46054</v>
      </c>
      <c r="W474" s="1">
        <v>46142</v>
      </c>
    </row>
    <row r="475" spans="1:24" x14ac:dyDescent="0.25">
      <c r="A475">
        <f t="shared" ca="1" si="40"/>
        <v>0</v>
      </c>
      <c r="C475">
        <f t="shared" ca="1" si="41"/>
        <v>0</v>
      </c>
      <c r="D475" t="s">
        <v>95</v>
      </c>
      <c r="E475" t="s">
        <v>250</v>
      </c>
      <c r="F475">
        <v>1885</v>
      </c>
      <c r="G475" t="s">
        <v>251</v>
      </c>
      <c r="H475" t="s">
        <v>252</v>
      </c>
      <c r="I475" t="s">
        <v>30</v>
      </c>
      <c r="J475" t="s">
        <v>95</v>
      </c>
      <c r="K475" t="s">
        <v>253</v>
      </c>
      <c r="L475" t="s">
        <v>254</v>
      </c>
      <c r="M475">
        <v>3500</v>
      </c>
      <c r="N475">
        <v>730</v>
      </c>
      <c r="O475">
        <v>5064026</v>
      </c>
      <c r="P475">
        <v>6761</v>
      </c>
      <c r="Q475" t="s">
        <v>255</v>
      </c>
      <c r="R475">
        <v>774.4</v>
      </c>
      <c r="S475">
        <v>774.4</v>
      </c>
      <c r="T475">
        <v>0</v>
      </c>
      <c r="U475" t="s">
        <v>34</v>
      </c>
      <c r="V475" s="1">
        <v>46134</v>
      </c>
      <c r="W475" s="1">
        <v>46138</v>
      </c>
    </row>
    <row r="476" spans="1:24" x14ac:dyDescent="0.25">
      <c r="A476">
        <f t="shared" ca="1" si="40"/>
        <v>0</v>
      </c>
      <c r="C476">
        <f t="shared" ca="1" si="41"/>
        <v>0</v>
      </c>
      <c r="D476" t="s">
        <v>95</v>
      </c>
      <c r="E476" t="s">
        <v>250</v>
      </c>
      <c r="F476">
        <v>1884</v>
      </c>
      <c r="G476" t="s">
        <v>251</v>
      </c>
      <c r="H476" t="s">
        <v>1100</v>
      </c>
      <c r="I476" t="s">
        <v>30</v>
      </c>
      <c r="J476" t="s">
        <v>95</v>
      </c>
      <c r="K476" t="s">
        <v>253</v>
      </c>
      <c r="L476" t="s">
        <v>1004</v>
      </c>
      <c r="M476">
        <v>14000</v>
      </c>
      <c r="N476">
        <v>731</v>
      </c>
      <c r="O476">
        <v>5090402</v>
      </c>
      <c r="P476">
        <v>6761</v>
      </c>
      <c r="Q476" t="s">
        <v>255</v>
      </c>
      <c r="R476">
        <v>9650.2999999999993</v>
      </c>
      <c r="T476">
        <v>9650.2999999999993</v>
      </c>
    </row>
    <row r="477" spans="1:24" x14ac:dyDescent="0.25">
      <c r="A477">
        <f t="shared" ca="1" si="40"/>
        <v>0</v>
      </c>
      <c r="C477">
        <f t="shared" ca="1" si="41"/>
        <v>0</v>
      </c>
      <c r="D477" t="s">
        <v>95</v>
      </c>
      <c r="E477" t="s">
        <v>250</v>
      </c>
      <c r="F477">
        <v>1885</v>
      </c>
      <c r="G477" t="s">
        <v>251</v>
      </c>
      <c r="H477" t="s">
        <v>252</v>
      </c>
      <c r="I477" t="s">
        <v>30</v>
      </c>
      <c r="J477" t="s">
        <v>95</v>
      </c>
      <c r="K477" t="s">
        <v>253</v>
      </c>
      <c r="L477" t="s">
        <v>1004</v>
      </c>
      <c r="M477">
        <v>21000</v>
      </c>
      <c r="N477">
        <v>732</v>
      </c>
      <c r="O477">
        <v>5022110</v>
      </c>
      <c r="P477">
        <v>6761</v>
      </c>
      <c r="Q477" t="s">
        <v>255</v>
      </c>
      <c r="R477">
        <v>22405.9</v>
      </c>
      <c r="S477">
        <v>22405.9</v>
      </c>
      <c r="T477">
        <v>0</v>
      </c>
      <c r="U477" t="s">
        <v>34</v>
      </c>
      <c r="V477" s="1">
        <v>46082</v>
      </c>
      <c r="W477" s="1">
        <v>46142</v>
      </c>
    </row>
    <row r="478" spans="1:24" x14ac:dyDescent="0.25">
      <c r="A478">
        <f t="shared" ca="1" si="40"/>
        <v>0</v>
      </c>
      <c r="C478">
        <f t="shared" ca="1" si="41"/>
        <v>0</v>
      </c>
      <c r="D478" t="s">
        <v>95</v>
      </c>
      <c r="E478" t="s">
        <v>250</v>
      </c>
      <c r="F478">
        <v>1904</v>
      </c>
      <c r="G478" t="s">
        <v>996</v>
      </c>
      <c r="H478" t="s">
        <v>1101</v>
      </c>
      <c r="I478" t="s">
        <v>30</v>
      </c>
      <c r="J478" t="s">
        <v>95</v>
      </c>
      <c r="K478" t="s">
        <v>253</v>
      </c>
      <c r="L478" t="s">
        <v>1004</v>
      </c>
      <c r="M478">
        <v>14000</v>
      </c>
      <c r="N478">
        <v>733</v>
      </c>
      <c r="O478">
        <v>5035090</v>
      </c>
      <c r="P478">
        <v>6067</v>
      </c>
      <c r="Q478" t="s">
        <v>1005</v>
      </c>
      <c r="R478">
        <v>14307.52</v>
      </c>
      <c r="S478">
        <v>12309.92</v>
      </c>
      <c r="T478">
        <v>1997.6</v>
      </c>
      <c r="U478" t="s">
        <v>34</v>
      </c>
      <c r="V478" s="1">
        <v>46160</v>
      </c>
      <c r="W478" s="1">
        <v>46234</v>
      </c>
    </row>
    <row r="479" spans="1:24" x14ac:dyDescent="0.25">
      <c r="A479">
        <f t="shared" ca="1" si="40"/>
        <v>0</v>
      </c>
      <c r="C479">
        <f t="shared" ca="1" si="41"/>
        <v>0</v>
      </c>
      <c r="D479" t="s">
        <v>95</v>
      </c>
      <c r="E479" t="s">
        <v>250</v>
      </c>
      <c r="F479">
        <v>1929</v>
      </c>
      <c r="G479" t="s">
        <v>996</v>
      </c>
      <c r="H479" t="s">
        <v>1102</v>
      </c>
      <c r="I479" t="s">
        <v>30</v>
      </c>
      <c r="J479" t="s">
        <v>95</v>
      </c>
      <c r="K479" t="s">
        <v>253</v>
      </c>
      <c r="L479" t="s">
        <v>1004</v>
      </c>
      <c r="M479">
        <v>6000</v>
      </c>
      <c r="N479">
        <v>735</v>
      </c>
      <c r="O479">
        <v>5086152</v>
      </c>
      <c r="P479">
        <v>6067</v>
      </c>
      <c r="Q479" t="s">
        <v>1005</v>
      </c>
      <c r="R479">
        <v>6448.46</v>
      </c>
      <c r="T479">
        <v>6448.46</v>
      </c>
    </row>
    <row r="480" spans="1:24" x14ac:dyDescent="0.25">
      <c r="A480">
        <f t="shared" ca="1" si="40"/>
        <v>0</v>
      </c>
      <c r="C480">
        <f t="shared" ca="1" si="41"/>
        <v>0</v>
      </c>
      <c r="D480" t="s">
        <v>196</v>
      </c>
      <c r="E480" t="s">
        <v>627</v>
      </c>
      <c r="F480">
        <v>762</v>
      </c>
      <c r="G480" t="s">
        <v>628</v>
      </c>
      <c r="H480" t="s">
        <v>1103</v>
      </c>
      <c r="I480" t="s">
        <v>187</v>
      </c>
      <c r="J480" t="s">
        <v>196</v>
      </c>
      <c r="K480" t="s">
        <v>188</v>
      </c>
      <c r="L480" t="s">
        <v>1104</v>
      </c>
      <c r="M480">
        <v>4000</v>
      </c>
      <c r="N480">
        <v>736</v>
      </c>
      <c r="X480" t="s">
        <v>655</v>
      </c>
    </row>
    <row r="481" spans="1:24" x14ac:dyDescent="0.25">
      <c r="A481">
        <f t="shared" ca="1" si="40"/>
        <v>0</v>
      </c>
      <c r="C481">
        <f t="shared" ca="1" si="41"/>
        <v>0</v>
      </c>
      <c r="D481" t="s">
        <v>196</v>
      </c>
      <c r="E481" t="s">
        <v>627</v>
      </c>
      <c r="F481">
        <v>702</v>
      </c>
      <c r="G481" t="s">
        <v>628</v>
      </c>
      <c r="H481" t="s">
        <v>1105</v>
      </c>
      <c r="I481" t="s">
        <v>187</v>
      </c>
      <c r="J481" t="s">
        <v>196</v>
      </c>
      <c r="K481" t="s">
        <v>188</v>
      </c>
      <c r="L481" t="s">
        <v>1106</v>
      </c>
      <c r="M481">
        <v>3000</v>
      </c>
      <c r="N481">
        <v>737</v>
      </c>
      <c r="X481" t="s">
        <v>1107</v>
      </c>
    </row>
    <row r="483" spans="1:24" x14ac:dyDescent="0.25">
      <c r="A483">
        <f t="shared" ref="A483:A513" ca="1" si="42">+ Cmde</f>
        <v>0</v>
      </c>
      <c r="C483">
        <f t="shared" ref="C483:C513" ca="1" si="43">+ Devis</f>
        <v>0</v>
      </c>
      <c r="D483" t="s">
        <v>368</v>
      </c>
      <c r="E483" t="s">
        <v>627</v>
      </c>
      <c r="F483">
        <v>996</v>
      </c>
      <c r="G483" t="s">
        <v>628</v>
      </c>
      <c r="H483" t="s">
        <v>1108</v>
      </c>
      <c r="I483" t="s">
        <v>187</v>
      </c>
      <c r="J483" t="s">
        <v>368</v>
      </c>
      <c r="K483" t="s">
        <v>188</v>
      </c>
      <c r="L483" t="s">
        <v>1109</v>
      </c>
      <c r="M483">
        <v>5000</v>
      </c>
      <c r="N483">
        <v>739</v>
      </c>
      <c r="O483">
        <v>5037961</v>
      </c>
      <c r="P483">
        <v>4147</v>
      </c>
      <c r="Q483" t="s">
        <v>1110</v>
      </c>
      <c r="R483">
        <v>3956.6</v>
      </c>
      <c r="S483">
        <v>3956.6</v>
      </c>
      <c r="T483">
        <v>0</v>
      </c>
      <c r="U483" t="s">
        <v>34</v>
      </c>
    </row>
    <row r="484" spans="1:24" x14ac:dyDescent="0.25">
      <c r="A484">
        <f t="shared" ca="1" si="42"/>
        <v>0</v>
      </c>
      <c r="C484">
        <f t="shared" ca="1" si="43"/>
        <v>0</v>
      </c>
      <c r="D484" t="s">
        <v>183</v>
      </c>
      <c r="E484" t="s">
        <v>245</v>
      </c>
      <c r="F484">
        <v>1247</v>
      </c>
      <c r="G484" t="s">
        <v>736</v>
      </c>
      <c r="H484" t="s">
        <v>1111</v>
      </c>
      <c r="I484" t="s">
        <v>187</v>
      </c>
      <c r="J484" t="s">
        <v>183</v>
      </c>
      <c r="K484" t="s">
        <v>188</v>
      </c>
      <c r="L484" t="s">
        <v>1112</v>
      </c>
      <c r="M484">
        <v>12500</v>
      </c>
      <c r="N484">
        <v>740</v>
      </c>
      <c r="O484">
        <v>5018909</v>
      </c>
      <c r="P484">
        <v>24003</v>
      </c>
      <c r="Q484" t="s">
        <v>739</v>
      </c>
      <c r="R484">
        <v>4745.8500000000004</v>
      </c>
      <c r="S484">
        <v>4745.8500000000004</v>
      </c>
      <c r="T484">
        <v>0</v>
      </c>
      <c r="U484" t="s">
        <v>34</v>
      </c>
      <c r="V484" s="1">
        <v>46104</v>
      </c>
      <c r="W484" s="1">
        <v>46109</v>
      </c>
    </row>
    <row r="485" spans="1:24" x14ac:dyDescent="0.25">
      <c r="A485">
        <f t="shared" ca="1" si="42"/>
        <v>0</v>
      </c>
      <c r="C485">
        <f t="shared" ca="1" si="43"/>
        <v>0</v>
      </c>
      <c r="D485" t="s">
        <v>183</v>
      </c>
      <c r="E485" t="s">
        <v>245</v>
      </c>
      <c r="F485">
        <v>1247</v>
      </c>
      <c r="G485" t="s">
        <v>736</v>
      </c>
      <c r="H485" t="s">
        <v>1113</v>
      </c>
      <c r="I485" t="s">
        <v>187</v>
      </c>
      <c r="J485" t="s">
        <v>183</v>
      </c>
      <c r="K485" t="s">
        <v>188</v>
      </c>
      <c r="L485" t="s">
        <v>1114</v>
      </c>
      <c r="M485">
        <v>3500</v>
      </c>
      <c r="N485">
        <v>741</v>
      </c>
      <c r="X485" t="s">
        <v>212</v>
      </c>
    </row>
    <row r="486" spans="1:24" x14ac:dyDescent="0.25">
      <c r="A486">
        <f t="shared" ca="1" si="42"/>
        <v>0</v>
      </c>
      <c r="C486">
        <f t="shared" ca="1" si="43"/>
        <v>0</v>
      </c>
      <c r="D486" t="s">
        <v>285</v>
      </c>
      <c r="E486" t="s">
        <v>245</v>
      </c>
      <c r="F486">
        <v>1254</v>
      </c>
      <c r="G486" t="s">
        <v>771</v>
      </c>
      <c r="H486" t="s">
        <v>1115</v>
      </c>
      <c r="I486" t="s">
        <v>187</v>
      </c>
      <c r="J486" t="s">
        <v>285</v>
      </c>
      <c r="K486" t="s">
        <v>188</v>
      </c>
      <c r="L486" t="s">
        <v>1116</v>
      </c>
      <c r="M486">
        <v>4000</v>
      </c>
      <c r="N486">
        <v>742</v>
      </c>
      <c r="O486">
        <v>5015311</v>
      </c>
      <c r="P486">
        <v>6364</v>
      </c>
      <c r="Q486" t="s">
        <v>331</v>
      </c>
      <c r="R486">
        <v>4409.1400000000003</v>
      </c>
      <c r="T486">
        <v>4409.1400000000003</v>
      </c>
      <c r="U486" t="s">
        <v>40</v>
      </c>
      <c r="X486" t="s">
        <v>1117</v>
      </c>
    </row>
    <row r="487" spans="1:24" x14ac:dyDescent="0.25">
      <c r="A487">
        <f t="shared" ca="1" si="42"/>
        <v>0</v>
      </c>
      <c r="C487">
        <f t="shared" ca="1" si="43"/>
        <v>0</v>
      </c>
      <c r="D487" t="s">
        <v>57</v>
      </c>
      <c r="E487" t="s">
        <v>627</v>
      </c>
      <c r="F487">
        <v>762</v>
      </c>
      <c r="G487" t="s">
        <v>628</v>
      </c>
      <c r="H487" t="s">
        <v>1118</v>
      </c>
      <c r="I487" t="s">
        <v>44</v>
      </c>
      <c r="J487" t="s">
        <v>57</v>
      </c>
      <c r="K487" t="s">
        <v>188</v>
      </c>
      <c r="L487" t="s">
        <v>1119</v>
      </c>
      <c r="M487">
        <v>25000</v>
      </c>
      <c r="N487">
        <v>743</v>
      </c>
      <c r="O487">
        <v>5025614</v>
      </c>
      <c r="P487">
        <v>4787</v>
      </c>
      <c r="Q487" t="s">
        <v>206</v>
      </c>
      <c r="R487">
        <v>24052.26</v>
      </c>
      <c r="S487">
        <v>24052.26</v>
      </c>
      <c r="T487">
        <v>0</v>
      </c>
      <c r="U487" t="s">
        <v>34</v>
      </c>
      <c r="V487" s="1">
        <v>46188</v>
      </c>
      <c r="W487" s="1">
        <v>46215</v>
      </c>
    </row>
    <row r="488" spans="1:24" x14ac:dyDescent="0.25">
      <c r="A488">
        <f t="shared" ca="1" si="42"/>
        <v>0</v>
      </c>
      <c r="C488">
        <f t="shared" ca="1" si="43"/>
        <v>0</v>
      </c>
      <c r="D488" t="s">
        <v>203</v>
      </c>
      <c r="E488" t="s">
        <v>627</v>
      </c>
      <c r="F488">
        <v>524</v>
      </c>
      <c r="G488" t="s">
        <v>1120</v>
      </c>
      <c r="H488" t="s">
        <v>1121</v>
      </c>
      <c r="I488" t="s">
        <v>44</v>
      </c>
      <c r="J488" t="s">
        <v>203</v>
      </c>
      <c r="K488" t="s">
        <v>188</v>
      </c>
      <c r="L488" t="s">
        <v>1122</v>
      </c>
      <c r="M488">
        <v>8000</v>
      </c>
      <c r="N488">
        <v>744</v>
      </c>
      <c r="O488">
        <v>5025447</v>
      </c>
      <c r="P488">
        <v>6364</v>
      </c>
      <c r="Q488" t="s">
        <v>331</v>
      </c>
      <c r="R488">
        <v>4079.17</v>
      </c>
      <c r="S488">
        <v>4079.17</v>
      </c>
      <c r="T488">
        <v>0</v>
      </c>
      <c r="U488" t="s">
        <v>34</v>
      </c>
    </row>
    <row r="489" spans="1:24" x14ac:dyDescent="0.25">
      <c r="A489">
        <f t="shared" ca="1" si="42"/>
        <v>0</v>
      </c>
      <c r="C489">
        <f t="shared" ca="1" si="43"/>
        <v>0</v>
      </c>
      <c r="D489" t="s">
        <v>183</v>
      </c>
      <c r="E489" t="s">
        <v>245</v>
      </c>
      <c r="F489">
        <v>850</v>
      </c>
      <c r="G489" t="s">
        <v>771</v>
      </c>
      <c r="H489" t="s">
        <v>1123</v>
      </c>
      <c r="I489" t="s">
        <v>44</v>
      </c>
      <c r="J489" t="s">
        <v>183</v>
      </c>
      <c r="K489" t="s">
        <v>188</v>
      </c>
      <c r="L489" t="s">
        <v>1124</v>
      </c>
      <c r="M489">
        <v>18000</v>
      </c>
      <c r="N489">
        <v>745</v>
      </c>
      <c r="X489" t="s">
        <v>212</v>
      </c>
    </row>
    <row r="490" spans="1:24" x14ac:dyDescent="0.25">
      <c r="A490">
        <f t="shared" ca="1" si="42"/>
        <v>0</v>
      </c>
      <c r="C490">
        <f t="shared" ca="1" si="43"/>
        <v>0</v>
      </c>
      <c r="D490" t="s">
        <v>57</v>
      </c>
      <c r="E490" t="s">
        <v>245</v>
      </c>
      <c r="F490">
        <v>990</v>
      </c>
      <c r="G490" t="s">
        <v>771</v>
      </c>
      <c r="H490" t="s">
        <v>1125</v>
      </c>
      <c r="I490" t="s">
        <v>44</v>
      </c>
      <c r="J490" t="s">
        <v>57</v>
      </c>
      <c r="K490" t="s">
        <v>188</v>
      </c>
      <c r="L490" t="s">
        <v>1126</v>
      </c>
      <c r="M490">
        <v>15000</v>
      </c>
      <c r="N490">
        <v>746</v>
      </c>
      <c r="X490" t="s">
        <v>212</v>
      </c>
    </row>
    <row r="491" spans="1:24" x14ac:dyDescent="0.25">
      <c r="A491">
        <f t="shared" ca="1" si="42"/>
        <v>0</v>
      </c>
      <c r="C491">
        <f t="shared" ca="1" si="43"/>
        <v>0</v>
      </c>
      <c r="D491" t="s">
        <v>209</v>
      </c>
      <c r="E491" t="s">
        <v>245</v>
      </c>
      <c r="F491">
        <v>1358</v>
      </c>
      <c r="G491" t="s">
        <v>736</v>
      </c>
      <c r="H491" t="s">
        <v>1127</v>
      </c>
      <c r="I491" t="s">
        <v>44</v>
      </c>
      <c r="J491" t="s">
        <v>209</v>
      </c>
      <c r="K491" t="s">
        <v>188</v>
      </c>
      <c r="L491" t="s">
        <v>1128</v>
      </c>
      <c r="M491">
        <v>4000</v>
      </c>
      <c r="N491">
        <v>747</v>
      </c>
      <c r="O491">
        <v>5023856</v>
      </c>
      <c r="P491">
        <v>4147</v>
      </c>
      <c r="Q491" t="s">
        <v>1110</v>
      </c>
      <c r="R491">
        <v>4636.0600000000004</v>
      </c>
      <c r="S491">
        <v>4636.0600000000004</v>
      </c>
      <c r="T491">
        <v>0</v>
      </c>
      <c r="U491" t="s">
        <v>34</v>
      </c>
    </row>
    <row r="492" spans="1:24" x14ac:dyDescent="0.25">
      <c r="A492">
        <f t="shared" ca="1" si="42"/>
        <v>0</v>
      </c>
      <c r="C492">
        <f t="shared" ca="1" si="43"/>
        <v>0</v>
      </c>
      <c r="D492" t="s">
        <v>209</v>
      </c>
      <c r="E492" t="s">
        <v>245</v>
      </c>
      <c r="F492">
        <v>1247</v>
      </c>
      <c r="G492" t="s">
        <v>736</v>
      </c>
      <c r="H492" t="s">
        <v>1113</v>
      </c>
      <c r="I492" t="s">
        <v>44</v>
      </c>
      <c r="J492" t="s">
        <v>209</v>
      </c>
      <c r="K492" t="s">
        <v>188</v>
      </c>
      <c r="L492" t="s">
        <v>1129</v>
      </c>
      <c r="M492">
        <v>7000</v>
      </c>
      <c r="N492">
        <v>748</v>
      </c>
      <c r="O492">
        <v>5042031</v>
      </c>
      <c r="P492">
        <v>26924</v>
      </c>
      <c r="Q492" t="s">
        <v>1130</v>
      </c>
      <c r="R492">
        <v>7808.8</v>
      </c>
      <c r="S492">
        <v>7808.8</v>
      </c>
      <c r="T492">
        <v>0</v>
      </c>
      <c r="U492" t="s">
        <v>34</v>
      </c>
      <c r="V492" s="1">
        <v>46132</v>
      </c>
      <c r="W492" s="1">
        <v>46162</v>
      </c>
    </row>
    <row r="493" spans="1:24" x14ac:dyDescent="0.25">
      <c r="A493">
        <f t="shared" ca="1" si="42"/>
        <v>0</v>
      </c>
      <c r="C493">
        <f t="shared" ca="1" si="43"/>
        <v>0</v>
      </c>
      <c r="D493" t="s">
        <v>236</v>
      </c>
      <c r="E493" t="s">
        <v>245</v>
      </c>
      <c r="F493">
        <v>948</v>
      </c>
      <c r="G493" t="s">
        <v>771</v>
      </c>
      <c r="H493" t="s">
        <v>1131</v>
      </c>
      <c r="I493" t="s">
        <v>44</v>
      </c>
      <c r="J493" t="s">
        <v>236</v>
      </c>
      <c r="K493" t="s">
        <v>188</v>
      </c>
      <c r="L493" t="s">
        <v>1132</v>
      </c>
      <c r="M493">
        <v>6500</v>
      </c>
      <c r="N493">
        <v>749</v>
      </c>
      <c r="O493">
        <v>5023827</v>
      </c>
      <c r="P493">
        <v>6455</v>
      </c>
      <c r="Q493" t="s">
        <v>39</v>
      </c>
      <c r="R493">
        <v>6320.75</v>
      </c>
      <c r="S493">
        <v>6320.75</v>
      </c>
      <c r="T493">
        <v>0</v>
      </c>
      <c r="U493" t="s">
        <v>34</v>
      </c>
    </row>
    <row r="494" spans="1:24" x14ac:dyDescent="0.25">
      <c r="A494">
        <f t="shared" ca="1" si="42"/>
        <v>0</v>
      </c>
      <c r="C494">
        <f t="shared" ca="1" si="43"/>
        <v>0</v>
      </c>
      <c r="D494" t="s">
        <v>57</v>
      </c>
      <c r="E494" t="s">
        <v>245</v>
      </c>
      <c r="F494">
        <v>1281</v>
      </c>
      <c r="G494" t="s">
        <v>736</v>
      </c>
      <c r="H494" t="s">
        <v>1133</v>
      </c>
      <c r="I494" t="s">
        <v>44</v>
      </c>
      <c r="J494" t="s">
        <v>57</v>
      </c>
      <c r="K494" t="s">
        <v>188</v>
      </c>
      <c r="L494" t="s">
        <v>1134</v>
      </c>
      <c r="M494">
        <v>11500</v>
      </c>
      <c r="N494">
        <v>750</v>
      </c>
      <c r="O494">
        <v>5043168</v>
      </c>
      <c r="P494">
        <v>26924</v>
      </c>
      <c r="Q494" t="s">
        <v>1130</v>
      </c>
      <c r="R494">
        <v>11077</v>
      </c>
      <c r="T494">
        <v>11077</v>
      </c>
      <c r="U494" t="s">
        <v>40</v>
      </c>
      <c r="V494" s="1">
        <v>46274</v>
      </c>
      <c r="W494" s="1">
        <v>46310</v>
      </c>
    </row>
    <row r="495" spans="1:24" x14ac:dyDescent="0.25">
      <c r="A495">
        <f t="shared" ca="1" si="42"/>
        <v>0</v>
      </c>
      <c r="C495">
        <f t="shared" ca="1" si="43"/>
        <v>0</v>
      </c>
      <c r="D495" t="s">
        <v>79</v>
      </c>
      <c r="E495" t="s">
        <v>627</v>
      </c>
      <c r="F495">
        <v>631</v>
      </c>
      <c r="G495" t="s">
        <v>1120</v>
      </c>
      <c r="H495" t="s">
        <v>1135</v>
      </c>
      <c r="I495" t="s">
        <v>30</v>
      </c>
      <c r="J495" t="s">
        <v>79</v>
      </c>
      <c r="K495" t="s">
        <v>188</v>
      </c>
      <c r="L495" t="s">
        <v>1136</v>
      </c>
      <c r="M495">
        <v>2000</v>
      </c>
      <c r="N495">
        <v>751</v>
      </c>
      <c r="X495" t="s">
        <v>175</v>
      </c>
    </row>
    <row r="496" spans="1:24" x14ac:dyDescent="0.25">
      <c r="A496">
        <f t="shared" ca="1" si="42"/>
        <v>0</v>
      </c>
      <c r="C496">
        <f t="shared" ca="1" si="43"/>
        <v>0</v>
      </c>
      <c r="D496" t="s">
        <v>79</v>
      </c>
      <c r="E496" t="s">
        <v>245</v>
      </c>
      <c r="F496">
        <v>990</v>
      </c>
      <c r="G496" t="s">
        <v>771</v>
      </c>
      <c r="H496" t="s">
        <v>1125</v>
      </c>
      <c r="I496" t="s">
        <v>30</v>
      </c>
      <c r="J496" t="s">
        <v>79</v>
      </c>
      <c r="K496" t="s">
        <v>188</v>
      </c>
      <c r="L496" t="s">
        <v>1137</v>
      </c>
      <c r="M496">
        <v>5000</v>
      </c>
      <c r="N496">
        <v>753</v>
      </c>
      <c r="X496" t="s">
        <v>212</v>
      </c>
    </row>
    <row r="497" spans="1:24" x14ac:dyDescent="0.25">
      <c r="A497">
        <f t="shared" ca="1" si="42"/>
        <v>0</v>
      </c>
      <c r="C497">
        <f t="shared" ca="1" si="43"/>
        <v>0</v>
      </c>
      <c r="D497" t="s">
        <v>79</v>
      </c>
      <c r="E497" t="s">
        <v>245</v>
      </c>
      <c r="F497">
        <v>2233</v>
      </c>
      <c r="G497" t="s">
        <v>771</v>
      </c>
      <c r="H497" t="s">
        <v>1138</v>
      </c>
      <c r="I497" t="s">
        <v>30</v>
      </c>
      <c r="J497" t="s">
        <v>79</v>
      </c>
      <c r="K497" t="s">
        <v>188</v>
      </c>
      <c r="L497" t="s">
        <v>1139</v>
      </c>
      <c r="M497">
        <v>2000</v>
      </c>
      <c r="N497">
        <v>754</v>
      </c>
      <c r="O497">
        <v>5014042</v>
      </c>
      <c r="P497">
        <v>24003</v>
      </c>
      <c r="Q497" t="s">
        <v>739</v>
      </c>
      <c r="R497">
        <v>3105.05</v>
      </c>
      <c r="S497">
        <v>3105.05</v>
      </c>
      <c r="T497">
        <v>0</v>
      </c>
      <c r="U497" t="s">
        <v>34</v>
      </c>
      <c r="V497" s="1">
        <v>46125</v>
      </c>
      <c r="W497" s="1">
        <v>46132</v>
      </c>
    </row>
    <row r="498" spans="1:24" x14ac:dyDescent="0.25">
      <c r="A498">
        <f t="shared" ca="1" si="42"/>
        <v>0</v>
      </c>
      <c r="C498">
        <f t="shared" ca="1" si="43"/>
        <v>0</v>
      </c>
      <c r="D498" t="s">
        <v>35</v>
      </c>
      <c r="E498" t="s">
        <v>245</v>
      </c>
      <c r="F498">
        <v>1254</v>
      </c>
      <c r="G498" t="s">
        <v>771</v>
      </c>
      <c r="H498" t="s">
        <v>1140</v>
      </c>
      <c r="I498" t="s">
        <v>30</v>
      </c>
      <c r="J498" t="s">
        <v>35</v>
      </c>
      <c r="K498" t="s">
        <v>188</v>
      </c>
      <c r="L498" t="s">
        <v>1141</v>
      </c>
      <c r="M498">
        <v>19000</v>
      </c>
      <c r="N498">
        <v>755</v>
      </c>
      <c r="P498">
        <v>5318</v>
      </c>
      <c r="Q498" t="s">
        <v>1142</v>
      </c>
      <c r="R498">
        <v>9611.5499999999993</v>
      </c>
      <c r="S498">
        <v>9611.5499999999993</v>
      </c>
      <c r="T498">
        <v>0</v>
      </c>
      <c r="U498" t="s">
        <v>34</v>
      </c>
    </row>
    <row r="499" spans="1:24" x14ac:dyDescent="0.25">
      <c r="A499">
        <f t="shared" ca="1" si="42"/>
        <v>0</v>
      </c>
      <c r="C499">
        <f t="shared" ca="1" si="43"/>
        <v>0</v>
      </c>
      <c r="D499" t="s">
        <v>88</v>
      </c>
      <c r="E499" t="s">
        <v>245</v>
      </c>
      <c r="F499">
        <v>990</v>
      </c>
      <c r="G499" t="s">
        <v>771</v>
      </c>
      <c r="H499" t="s">
        <v>1125</v>
      </c>
      <c r="I499" t="s">
        <v>30</v>
      </c>
      <c r="J499" t="s">
        <v>88</v>
      </c>
      <c r="K499" t="s">
        <v>188</v>
      </c>
      <c r="L499" t="s">
        <v>1143</v>
      </c>
      <c r="M499">
        <v>47000</v>
      </c>
      <c r="N499">
        <v>756</v>
      </c>
      <c r="O499">
        <v>5029643</v>
      </c>
      <c r="P499">
        <v>6924</v>
      </c>
      <c r="Q499" t="s">
        <v>1144</v>
      </c>
      <c r="R499">
        <v>232.8</v>
      </c>
      <c r="S499">
        <v>232.8</v>
      </c>
      <c r="T499">
        <v>0</v>
      </c>
      <c r="U499" t="s">
        <v>34</v>
      </c>
    </row>
    <row r="500" spans="1:24" x14ac:dyDescent="0.25">
      <c r="A500">
        <f t="shared" ca="1" si="42"/>
        <v>0</v>
      </c>
      <c r="C500">
        <f t="shared" ca="1" si="43"/>
        <v>0</v>
      </c>
      <c r="D500" t="s">
        <v>26</v>
      </c>
      <c r="E500" t="s">
        <v>245</v>
      </c>
      <c r="F500">
        <v>1306</v>
      </c>
      <c r="G500" t="s">
        <v>771</v>
      </c>
      <c r="H500" t="s">
        <v>1145</v>
      </c>
      <c r="I500" t="s">
        <v>30</v>
      </c>
      <c r="J500" t="s">
        <v>26</v>
      </c>
      <c r="K500" t="s">
        <v>188</v>
      </c>
      <c r="L500" t="s">
        <v>1146</v>
      </c>
      <c r="M500">
        <v>25000</v>
      </c>
      <c r="N500">
        <v>757</v>
      </c>
      <c r="O500">
        <v>5013671</v>
      </c>
      <c r="P500">
        <v>4147</v>
      </c>
      <c r="Q500" t="s">
        <v>1110</v>
      </c>
      <c r="R500">
        <v>22982.19</v>
      </c>
      <c r="T500">
        <v>22982.19</v>
      </c>
      <c r="U500" t="s">
        <v>34</v>
      </c>
    </row>
    <row r="501" spans="1:24" x14ac:dyDescent="0.25">
      <c r="A501">
        <f t="shared" ca="1" si="42"/>
        <v>0</v>
      </c>
      <c r="C501">
        <f t="shared" ca="1" si="43"/>
        <v>0</v>
      </c>
      <c r="D501" t="s">
        <v>26</v>
      </c>
      <c r="E501" t="s">
        <v>245</v>
      </c>
      <c r="F501">
        <v>1381</v>
      </c>
      <c r="G501" t="s">
        <v>736</v>
      </c>
      <c r="H501" t="s">
        <v>1147</v>
      </c>
      <c r="I501" t="s">
        <v>30</v>
      </c>
      <c r="J501" t="s">
        <v>26</v>
      </c>
      <c r="K501" t="s">
        <v>188</v>
      </c>
      <c r="L501" t="s">
        <v>1148</v>
      </c>
      <c r="M501">
        <v>7000</v>
      </c>
      <c r="N501">
        <v>758</v>
      </c>
    </row>
    <row r="502" spans="1:24" x14ac:dyDescent="0.25">
      <c r="A502">
        <f t="shared" ca="1" si="42"/>
        <v>0</v>
      </c>
      <c r="C502">
        <f t="shared" ca="1" si="43"/>
        <v>0</v>
      </c>
      <c r="D502" t="s">
        <v>74</v>
      </c>
      <c r="E502" t="s">
        <v>245</v>
      </c>
      <c r="F502">
        <v>1247</v>
      </c>
      <c r="G502" t="s">
        <v>736</v>
      </c>
      <c r="H502" t="s">
        <v>1113</v>
      </c>
      <c r="I502" t="s">
        <v>30</v>
      </c>
      <c r="J502" t="s">
        <v>74</v>
      </c>
      <c r="K502" t="s">
        <v>188</v>
      </c>
      <c r="L502" t="s">
        <v>1149</v>
      </c>
      <c r="M502">
        <v>14000</v>
      </c>
      <c r="N502">
        <v>759</v>
      </c>
      <c r="O502">
        <v>5050374</v>
      </c>
      <c r="P502">
        <v>24003</v>
      </c>
      <c r="Q502" t="s">
        <v>739</v>
      </c>
      <c r="R502">
        <v>3557.75</v>
      </c>
      <c r="S502">
        <v>3557.75</v>
      </c>
      <c r="T502">
        <v>0</v>
      </c>
      <c r="U502" t="s">
        <v>34</v>
      </c>
    </row>
    <row r="503" spans="1:24" x14ac:dyDescent="0.25">
      <c r="A503">
        <f t="shared" ca="1" si="42"/>
        <v>0</v>
      </c>
      <c r="C503">
        <f t="shared" ca="1" si="43"/>
        <v>0</v>
      </c>
      <c r="D503" t="s">
        <v>35</v>
      </c>
      <c r="E503" t="s">
        <v>49</v>
      </c>
      <c r="F503">
        <v>1782</v>
      </c>
      <c r="G503" t="s">
        <v>50</v>
      </c>
      <c r="H503" t="s">
        <v>1150</v>
      </c>
      <c r="I503" t="s">
        <v>30</v>
      </c>
      <c r="J503" t="s">
        <v>35</v>
      </c>
      <c r="K503" t="s">
        <v>326</v>
      </c>
      <c r="L503" t="s">
        <v>1151</v>
      </c>
      <c r="O503">
        <v>5009217</v>
      </c>
      <c r="P503">
        <v>6455</v>
      </c>
      <c r="Q503" t="s">
        <v>39</v>
      </c>
      <c r="R503">
        <v>2759.09</v>
      </c>
      <c r="S503">
        <v>2759.09</v>
      </c>
      <c r="T503">
        <v>0</v>
      </c>
      <c r="U503" t="s">
        <v>34</v>
      </c>
      <c r="V503" s="1">
        <v>46034</v>
      </c>
      <c r="W503" s="1">
        <v>46066</v>
      </c>
    </row>
    <row r="504" spans="1:24" x14ac:dyDescent="0.25">
      <c r="A504">
        <f t="shared" ca="1" si="42"/>
        <v>0</v>
      </c>
      <c r="C504">
        <f t="shared" ca="1" si="43"/>
        <v>0</v>
      </c>
      <c r="D504" t="s">
        <v>368</v>
      </c>
      <c r="E504" t="s">
        <v>237</v>
      </c>
      <c r="F504">
        <v>71</v>
      </c>
      <c r="G504" t="s">
        <v>884</v>
      </c>
      <c r="H504" t="s">
        <v>1152</v>
      </c>
      <c r="I504" t="s">
        <v>187</v>
      </c>
      <c r="J504" t="s">
        <v>368</v>
      </c>
      <c r="K504" t="s">
        <v>240</v>
      </c>
      <c r="L504" t="s">
        <v>1153</v>
      </c>
      <c r="O504">
        <v>5013491</v>
      </c>
      <c r="P504">
        <v>4046</v>
      </c>
      <c r="Q504" t="s">
        <v>1154</v>
      </c>
      <c r="R504">
        <v>2654.08</v>
      </c>
      <c r="S504">
        <v>2654.08</v>
      </c>
      <c r="T504">
        <v>0</v>
      </c>
      <c r="U504" t="s">
        <v>34</v>
      </c>
    </row>
    <row r="505" spans="1:24" x14ac:dyDescent="0.25">
      <c r="A505">
        <f t="shared" ca="1" si="42"/>
        <v>0</v>
      </c>
      <c r="C505">
        <f t="shared" ca="1" si="43"/>
        <v>0</v>
      </c>
      <c r="D505" t="s">
        <v>95</v>
      </c>
      <c r="E505" t="s">
        <v>27</v>
      </c>
      <c r="F505">
        <v>256</v>
      </c>
      <c r="G505" t="s">
        <v>28</v>
      </c>
      <c r="H505" t="s">
        <v>1155</v>
      </c>
      <c r="I505" t="s">
        <v>30</v>
      </c>
      <c r="J505" t="s">
        <v>95</v>
      </c>
      <c r="K505" t="s">
        <v>31</v>
      </c>
      <c r="L505" t="s">
        <v>1156</v>
      </c>
      <c r="O505">
        <v>5012773</v>
      </c>
      <c r="P505">
        <v>6632</v>
      </c>
      <c r="Q505" t="s">
        <v>1041</v>
      </c>
      <c r="R505">
        <v>2153.2399999999998</v>
      </c>
      <c r="S505">
        <v>2153.2399999999998</v>
      </c>
      <c r="T505">
        <v>0</v>
      </c>
      <c r="U505" t="s">
        <v>34</v>
      </c>
      <c r="V505" s="1">
        <v>46037</v>
      </c>
      <c r="W505" s="1">
        <v>46052</v>
      </c>
    </row>
    <row r="506" spans="1:24" x14ac:dyDescent="0.25">
      <c r="A506">
        <f t="shared" ca="1" si="42"/>
        <v>0</v>
      </c>
      <c r="C506">
        <f t="shared" ca="1" si="43"/>
        <v>0</v>
      </c>
      <c r="D506" t="s">
        <v>26</v>
      </c>
      <c r="E506" t="s">
        <v>245</v>
      </c>
      <c r="F506">
        <v>1306</v>
      </c>
      <c r="G506" t="s">
        <v>771</v>
      </c>
      <c r="H506" t="s">
        <v>1157</v>
      </c>
      <c r="I506" t="s">
        <v>30</v>
      </c>
      <c r="J506" t="s">
        <v>26</v>
      </c>
      <c r="K506" t="s">
        <v>188</v>
      </c>
      <c r="L506" t="s">
        <v>1158</v>
      </c>
      <c r="M506">
        <v>25000</v>
      </c>
      <c r="N506">
        <v>757</v>
      </c>
      <c r="O506">
        <v>5013727</v>
      </c>
      <c r="P506">
        <v>4147</v>
      </c>
      <c r="Q506" t="s">
        <v>1110</v>
      </c>
      <c r="R506">
        <v>3877.5</v>
      </c>
      <c r="S506">
        <v>3877.5</v>
      </c>
      <c r="T506">
        <v>0</v>
      </c>
      <c r="U506" t="s">
        <v>34</v>
      </c>
    </row>
    <row r="507" spans="1:24" x14ac:dyDescent="0.25">
      <c r="A507">
        <f t="shared" ca="1" si="42"/>
        <v>0</v>
      </c>
      <c r="C507">
        <f t="shared" ca="1" si="43"/>
        <v>0</v>
      </c>
      <c r="D507" t="s">
        <v>285</v>
      </c>
      <c r="E507" t="s">
        <v>49</v>
      </c>
      <c r="F507">
        <v>1711</v>
      </c>
      <c r="G507" t="s">
        <v>50</v>
      </c>
      <c r="H507" t="s">
        <v>684</v>
      </c>
      <c r="I507" t="s">
        <v>187</v>
      </c>
      <c r="J507" t="s">
        <v>285</v>
      </c>
      <c r="K507" t="s">
        <v>326</v>
      </c>
      <c r="L507" t="s">
        <v>1159</v>
      </c>
      <c r="M507">
        <v>4500</v>
      </c>
      <c r="N507">
        <v>592</v>
      </c>
      <c r="O507">
        <v>5014598</v>
      </c>
      <c r="P507">
        <v>1168</v>
      </c>
      <c r="Q507" t="s">
        <v>1160</v>
      </c>
      <c r="R507">
        <v>2037.09</v>
      </c>
      <c r="S507">
        <v>2037.09</v>
      </c>
      <c r="T507">
        <v>0</v>
      </c>
      <c r="U507" t="s">
        <v>34</v>
      </c>
      <c r="V507" s="1">
        <v>46083</v>
      </c>
      <c r="W507" s="1">
        <v>46108</v>
      </c>
    </row>
    <row r="508" spans="1:24" x14ac:dyDescent="0.25">
      <c r="A508">
        <f t="shared" ca="1" si="42"/>
        <v>0</v>
      </c>
      <c r="C508">
        <f t="shared" ca="1" si="43"/>
        <v>0</v>
      </c>
      <c r="D508" t="s">
        <v>74</v>
      </c>
      <c r="E508" t="s">
        <v>237</v>
      </c>
      <c r="F508">
        <v>344</v>
      </c>
      <c r="G508" t="s">
        <v>887</v>
      </c>
      <c r="H508" t="s">
        <v>1161</v>
      </c>
      <c r="I508" t="s">
        <v>30</v>
      </c>
      <c r="J508" t="s">
        <v>74</v>
      </c>
      <c r="K508" t="s">
        <v>240</v>
      </c>
      <c r="L508" t="s">
        <v>1162</v>
      </c>
      <c r="P508">
        <v>505</v>
      </c>
      <c r="Q508" t="s">
        <v>438</v>
      </c>
      <c r="R508">
        <v>-1600.5</v>
      </c>
      <c r="S508">
        <v>-1600.5</v>
      </c>
      <c r="T508">
        <v>0</v>
      </c>
      <c r="U508" t="s">
        <v>34</v>
      </c>
    </row>
    <row r="509" spans="1:24" x14ac:dyDescent="0.25">
      <c r="A509">
        <f t="shared" ca="1" si="42"/>
        <v>0</v>
      </c>
      <c r="C509">
        <f t="shared" ca="1" si="43"/>
        <v>0</v>
      </c>
      <c r="D509" t="s">
        <v>26</v>
      </c>
      <c r="E509" t="s">
        <v>64</v>
      </c>
      <c r="F509">
        <v>179</v>
      </c>
      <c r="G509" t="s">
        <v>65</v>
      </c>
      <c r="H509" t="s">
        <v>66</v>
      </c>
      <c r="I509" t="s">
        <v>30</v>
      </c>
      <c r="J509" t="s">
        <v>26</v>
      </c>
      <c r="K509" t="s">
        <v>67</v>
      </c>
      <c r="L509" t="s">
        <v>1163</v>
      </c>
      <c r="M509">
        <v>5000</v>
      </c>
      <c r="N509">
        <v>147</v>
      </c>
      <c r="O509">
        <v>5018668</v>
      </c>
      <c r="P509">
        <v>4551</v>
      </c>
      <c r="Q509" t="s">
        <v>461</v>
      </c>
      <c r="R509">
        <v>562.32000000000005</v>
      </c>
      <c r="S509">
        <v>562.32000000000005</v>
      </c>
      <c r="T509">
        <v>0</v>
      </c>
      <c r="U509" t="s">
        <v>34</v>
      </c>
      <c r="V509" s="1">
        <v>46030</v>
      </c>
      <c r="W509" s="1">
        <v>46034</v>
      </c>
    </row>
    <row r="510" spans="1:24" x14ac:dyDescent="0.25">
      <c r="A510">
        <f t="shared" ca="1" si="42"/>
        <v>0</v>
      </c>
      <c r="C510">
        <f t="shared" ca="1" si="43"/>
        <v>0</v>
      </c>
      <c r="D510" t="s">
        <v>95</v>
      </c>
      <c r="E510" t="s">
        <v>49</v>
      </c>
      <c r="F510">
        <v>1518</v>
      </c>
      <c r="G510" t="s">
        <v>670</v>
      </c>
      <c r="H510" t="s">
        <v>1164</v>
      </c>
      <c r="I510" t="s">
        <v>30</v>
      </c>
      <c r="J510" t="s">
        <v>95</v>
      </c>
      <c r="K510" t="s">
        <v>326</v>
      </c>
      <c r="L510" t="s">
        <v>838</v>
      </c>
      <c r="M510">
        <v>13000</v>
      </c>
      <c r="N510">
        <v>652</v>
      </c>
      <c r="O510">
        <v>5018853</v>
      </c>
      <c r="P510">
        <v>6455</v>
      </c>
      <c r="Q510" t="s">
        <v>39</v>
      </c>
      <c r="R510">
        <v>13958.8</v>
      </c>
      <c r="S510">
        <v>12689.82</v>
      </c>
      <c r="T510">
        <v>1268.98</v>
      </c>
      <c r="U510" t="s">
        <v>40</v>
      </c>
      <c r="V510" s="1">
        <v>46062</v>
      </c>
      <c r="W510" s="1">
        <v>46136</v>
      </c>
    </row>
    <row r="511" spans="1:24" x14ac:dyDescent="0.25">
      <c r="A511">
        <f t="shared" ca="1" si="42"/>
        <v>0</v>
      </c>
      <c r="C511">
        <f t="shared" ca="1" si="43"/>
        <v>0</v>
      </c>
      <c r="D511" t="s">
        <v>57</v>
      </c>
      <c r="E511" t="s">
        <v>58</v>
      </c>
      <c r="F511">
        <v>940</v>
      </c>
      <c r="G511" t="s">
        <v>1038</v>
      </c>
      <c r="H511" t="s">
        <v>1165</v>
      </c>
      <c r="I511" t="s">
        <v>44</v>
      </c>
      <c r="J511" t="s">
        <v>57</v>
      </c>
      <c r="K511" t="s">
        <v>61</v>
      </c>
      <c r="L511" t="s">
        <v>1166</v>
      </c>
      <c r="M511">
        <v>4500</v>
      </c>
      <c r="N511">
        <v>220</v>
      </c>
      <c r="O511">
        <v>5019877</v>
      </c>
      <c r="P511">
        <v>29</v>
      </c>
      <c r="Q511" t="s">
        <v>933</v>
      </c>
    </row>
    <row r="512" spans="1:24" x14ac:dyDescent="0.25">
      <c r="A512">
        <f t="shared" ca="1" si="42"/>
        <v>0</v>
      </c>
      <c r="C512">
        <f t="shared" ca="1" si="43"/>
        <v>0</v>
      </c>
      <c r="D512" t="s">
        <v>88</v>
      </c>
      <c r="E512" t="s">
        <v>58</v>
      </c>
      <c r="F512">
        <v>787</v>
      </c>
      <c r="G512" t="s">
        <v>59</v>
      </c>
      <c r="H512" t="s">
        <v>1167</v>
      </c>
      <c r="I512" t="s">
        <v>30</v>
      </c>
      <c r="J512" t="s">
        <v>88</v>
      </c>
      <c r="K512" t="s">
        <v>61</v>
      </c>
      <c r="L512" t="s">
        <v>1168</v>
      </c>
      <c r="M512">
        <v>30000</v>
      </c>
      <c r="N512">
        <v>257</v>
      </c>
      <c r="O512">
        <v>5019895</v>
      </c>
      <c r="P512">
        <v>4146</v>
      </c>
      <c r="Q512" t="s">
        <v>91</v>
      </c>
      <c r="R512">
        <v>16289.15</v>
      </c>
      <c r="S512">
        <v>16289.15</v>
      </c>
      <c r="T512">
        <v>0</v>
      </c>
      <c r="U512" t="s">
        <v>34</v>
      </c>
      <c r="V512" s="1">
        <v>46104</v>
      </c>
      <c r="W512" s="1">
        <v>46097</v>
      </c>
      <c r="X512" t="s">
        <v>296</v>
      </c>
    </row>
    <row r="513" spans="1:24" x14ac:dyDescent="0.25">
      <c r="A513">
        <f t="shared" ca="1" si="42"/>
        <v>0</v>
      </c>
      <c r="C513">
        <f t="shared" ca="1" si="43"/>
        <v>0</v>
      </c>
      <c r="D513" t="s">
        <v>26</v>
      </c>
      <c r="E513" t="s">
        <v>49</v>
      </c>
      <c r="F513">
        <v>1614</v>
      </c>
      <c r="G513" t="s">
        <v>692</v>
      </c>
      <c r="H513" t="s">
        <v>1169</v>
      </c>
      <c r="I513" t="s">
        <v>30</v>
      </c>
      <c r="J513" t="s">
        <v>26</v>
      </c>
      <c r="K513" t="s">
        <v>52</v>
      </c>
      <c r="L513" t="s">
        <v>1170</v>
      </c>
      <c r="M513">
        <v>3000</v>
      </c>
      <c r="N513">
        <v>701</v>
      </c>
      <c r="O513">
        <v>5023218</v>
      </c>
      <c r="P513">
        <v>7669</v>
      </c>
      <c r="Q513" t="s">
        <v>261</v>
      </c>
      <c r="R513">
        <v>1865.6</v>
      </c>
      <c r="T513">
        <v>1865.6</v>
      </c>
      <c r="X513" t="s">
        <v>56</v>
      </c>
    </row>
    <row r="514" spans="1:24" x14ac:dyDescent="0.25">
      <c r="A514" t="s">
        <v>1171</v>
      </c>
    </row>
    <row r="515" spans="1:24" x14ac:dyDescent="0.25">
      <c r="A515">
        <f ca="1">+ Cmde</f>
        <v>0</v>
      </c>
      <c r="C515">
        <f ca="1">+ Devis</f>
        <v>0</v>
      </c>
      <c r="D515" t="s">
        <v>236</v>
      </c>
      <c r="E515" t="s">
        <v>237</v>
      </c>
      <c r="F515">
        <v>77</v>
      </c>
      <c r="G515" t="s">
        <v>618</v>
      </c>
      <c r="H515" t="s">
        <v>1172</v>
      </c>
      <c r="I515" t="s">
        <v>44</v>
      </c>
      <c r="J515" t="s">
        <v>236</v>
      </c>
      <c r="K515" t="s">
        <v>240</v>
      </c>
      <c r="L515" t="s">
        <v>1173</v>
      </c>
      <c r="O515">
        <v>5014077</v>
      </c>
      <c r="P515">
        <v>81</v>
      </c>
      <c r="Q515" t="s">
        <v>102</v>
      </c>
      <c r="R515">
        <v>862.16</v>
      </c>
      <c r="S515">
        <v>862.16</v>
      </c>
      <c r="T515">
        <v>0</v>
      </c>
      <c r="U515" t="s">
        <v>34</v>
      </c>
    </row>
    <row r="516" spans="1:24" x14ac:dyDescent="0.25">
      <c r="A516">
        <f ca="1">+ Cmde</f>
        <v>0</v>
      </c>
      <c r="C516">
        <f ca="1">+ Devis</f>
        <v>0</v>
      </c>
      <c r="D516" t="s">
        <v>26</v>
      </c>
      <c r="E516" t="s">
        <v>237</v>
      </c>
      <c r="F516">
        <v>26</v>
      </c>
      <c r="G516" t="s">
        <v>884</v>
      </c>
      <c r="H516" t="s">
        <v>1174</v>
      </c>
      <c r="I516" t="s">
        <v>30</v>
      </c>
      <c r="J516" t="s">
        <v>26</v>
      </c>
      <c r="K516" t="s">
        <v>240</v>
      </c>
      <c r="L516" t="s">
        <v>1175</v>
      </c>
      <c r="O516">
        <v>5014094</v>
      </c>
      <c r="P516">
        <v>4551</v>
      </c>
      <c r="Q516" t="s">
        <v>461</v>
      </c>
      <c r="R516">
        <v>1551.65</v>
      </c>
      <c r="S516">
        <v>1551.65</v>
      </c>
      <c r="T516">
        <v>0</v>
      </c>
      <c r="U516" t="s">
        <v>34</v>
      </c>
    </row>
    <row r="517" spans="1:24" x14ac:dyDescent="0.25">
      <c r="A517">
        <f ca="1">+ Cmde</f>
        <v>0</v>
      </c>
      <c r="C517">
        <f ca="1">+ Devis</f>
        <v>0</v>
      </c>
      <c r="D517" t="s">
        <v>209</v>
      </c>
      <c r="E517" t="s">
        <v>297</v>
      </c>
      <c r="F517">
        <v>2290</v>
      </c>
      <c r="G517" t="s">
        <v>304</v>
      </c>
      <c r="H517" t="s">
        <v>1176</v>
      </c>
      <c r="I517" t="s">
        <v>44</v>
      </c>
      <c r="J517" t="s">
        <v>209</v>
      </c>
      <c r="K517" t="s">
        <v>300</v>
      </c>
      <c r="L517" t="s">
        <v>1177</v>
      </c>
      <c r="O517">
        <v>4895014</v>
      </c>
      <c r="P517">
        <v>17684</v>
      </c>
      <c r="Q517" t="s">
        <v>412</v>
      </c>
      <c r="R517">
        <v>5097.3999999999996</v>
      </c>
      <c r="S517">
        <v>4408.8</v>
      </c>
      <c r="T517">
        <v>688.6</v>
      </c>
      <c r="U517" t="s">
        <v>34</v>
      </c>
    </row>
    <row r="518" spans="1:24" x14ac:dyDescent="0.25">
      <c r="A518">
        <f ca="1">+ Cmde</f>
        <v>0</v>
      </c>
      <c r="C518">
        <f ca="1">+ Devis</f>
        <v>0</v>
      </c>
      <c r="D518" t="s">
        <v>209</v>
      </c>
      <c r="E518" t="s">
        <v>64</v>
      </c>
      <c r="F518">
        <v>103</v>
      </c>
      <c r="G518" t="s">
        <v>588</v>
      </c>
      <c r="H518" t="s">
        <v>1178</v>
      </c>
      <c r="I518" t="s">
        <v>44</v>
      </c>
      <c r="J518" t="s">
        <v>209</v>
      </c>
      <c r="K518" t="s">
        <v>67</v>
      </c>
      <c r="L518" t="s">
        <v>1179</v>
      </c>
      <c r="M518">
        <v>14000</v>
      </c>
      <c r="N518">
        <v>132</v>
      </c>
      <c r="O518">
        <v>5061730</v>
      </c>
      <c r="P518">
        <v>5197</v>
      </c>
      <c r="Q518" t="s">
        <v>132</v>
      </c>
      <c r="R518">
        <v>6875</v>
      </c>
      <c r="T518">
        <v>6875</v>
      </c>
      <c r="U518" t="s">
        <v>40</v>
      </c>
      <c r="V518" s="1">
        <v>46188</v>
      </c>
      <c r="W518" s="1">
        <v>46191</v>
      </c>
      <c r="X518" t="s">
        <v>1180</v>
      </c>
    </row>
    <row r="519" spans="1:24" x14ac:dyDescent="0.25">
      <c r="A519">
        <f ca="1">+ Cmde</f>
        <v>0</v>
      </c>
      <c r="C519">
        <f ca="1">+ Devis</f>
        <v>0</v>
      </c>
      <c r="D519" t="s">
        <v>209</v>
      </c>
      <c r="E519" t="s">
        <v>64</v>
      </c>
      <c r="F519">
        <v>103</v>
      </c>
      <c r="G519" t="s">
        <v>588</v>
      </c>
      <c r="H519" t="s">
        <v>1178</v>
      </c>
      <c r="I519" t="s">
        <v>44</v>
      </c>
      <c r="J519" t="s">
        <v>209</v>
      </c>
      <c r="K519" t="s">
        <v>67</v>
      </c>
      <c r="L519" t="s">
        <v>1179</v>
      </c>
      <c r="M519">
        <v>14000</v>
      </c>
      <c r="N519">
        <v>132</v>
      </c>
      <c r="O519">
        <v>5061736</v>
      </c>
      <c r="P519">
        <v>5197</v>
      </c>
      <c r="Q519" t="s">
        <v>132</v>
      </c>
      <c r="R519">
        <v>6875</v>
      </c>
      <c r="T519">
        <v>6875</v>
      </c>
      <c r="U519" t="s">
        <v>40</v>
      </c>
      <c r="V519" s="1">
        <v>46191</v>
      </c>
      <c r="W519" s="1">
        <v>46195</v>
      </c>
      <c r="X519" t="s">
        <v>1181</v>
      </c>
    </row>
    <row r="521" spans="1:24" x14ac:dyDescent="0.25">
      <c r="A521" t="s">
        <v>1180</v>
      </c>
    </row>
    <row r="522" spans="1:24" x14ac:dyDescent="0.25">
      <c r="A522">
        <f ca="1">+ Cmde</f>
        <v>0</v>
      </c>
      <c r="C522">
        <f ca="1">+ Devis</f>
        <v>0</v>
      </c>
      <c r="D522" t="s">
        <v>203</v>
      </c>
      <c r="E522" t="s">
        <v>297</v>
      </c>
      <c r="F522">
        <v>1352</v>
      </c>
      <c r="G522" t="s">
        <v>359</v>
      </c>
      <c r="H522" t="s">
        <v>1182</v>
      </c>
      <c r="I522" t="s">
        <v>44</v>
      </c>
      <c r="J522" t="s">
        <v>203</v>
      </c>
      <c r="K522" t="s">
        <v>300</v>
      </c>
      <c r="L522" t="s">
        <v>405</v>
      </c>
      <c r="M522">
        <v>14500</v>
      </c>
      <c r="N522">
        <v>495</v>
      </c>
      <c r="O522">
        <v>5073199</v>
      </c>
      <c r="P522">
        <v>28284</v>
      </c>
      <c r="Q522" t="s">
        <v>362</v>
      </c>
      <c r="R522">
        <v>11940.5</v>
      </c>
      <c r="S522">
        <v>11940.5</v>
      </c>
      <c r="T522">
        <v>0</v>
      </c>
      <c r="U522" t="s">
        <v>34</v>
      </c>
      <c r="V522" s="1">
        <v>46167</v>
      </c>
      <c r="W522" s="1">
        <v>46181</v>
      </c>
    </row>
    <row r="524" spans="1:24" x14ac:dyDescent="0.25">
      <c r="A524">
        <f t="shared" ref="A524:A564" ca="1" si="44">+ Cmde</f>
        <v>0</v>
      </c>
      <c r="C524">
        <f t="shared" ref="C524:C564" ca="1" si="45">+ Devis</f>
        <v>0</v>
      </c>
      <c r="D524" t="s">
        <v>48</v>
      </c>
      <c r="E524" t="s">
        <v>297</v>
      </c>
      <c r="F524">
        <v>1451</v>
      </c>
      <c r="G524" t="s">
        <v>304</v>
      </c>
      <c r="H524" t="s">
        <v>365</v>
      </c>
      <c r="I524" t="s">
        <v>30</v>
      </c>
      <c r="J524" t="s">
        <v>48</v>
      </c>
      <c r="K524" t="s">
        <v>300</v>
      </c>
      <c r="L524" t="s">
        <v>1183</v>
      </c>
      <c r="O524">
        <v>5073201</v>
      </c>
      <c r="P524">
        <v>8150</v>
      </c>
      <c r="Q524" t="s">
        <v>1184</v>
      </c>
      <c r="R524">
        <v>11721.05</v>
      </c>
      <c r="T524">
        <v>11721.05</v>
      </c>
      <c r="U524" t="s">
        <v>40</v>
      </c>
      <c r="V524" s="1">
        <v>46174</v>
      </c>
      <c r="W524" s="1">
        <v>46192</v>
      </c>
    </row>
    <row r="525" spans="1:24" x14ac:dyDescent="0.25">
      <c r="A525">
        <f t="shared" ca="1" si="44"/>
        <v>0</v>
      </c>
      <c r="C525">
        <f t="shared" ca="1" si="45"/>
        <v>0</v>
      </c>
      <c r="D525" t="s">
        <v>236</v>
      </c>
      <c r="E525" t="s">
        <v>297</v>
      </c>
      <c r="F525">
        <v>1831</v>
      </c>
      <c r="G525" t="s">
        <v>304</v>
      </c>
      <c r="H525" t="s">
        <v>1185</v>
      </c>
      <c r="I525" t="s">
        <v>44</v>
      </c>
      <c r="J525" t="s">
        <v>236</v>
      </c>
      <c r="K525" t="s">
        <v>300</v>
      </c>
      <c r="L525" t="s">
        <v>1186</v>
      </c>
      <c r="M525">
        <v>10000</v>
      </c>
      <c r="N525">
        <v>488</v>
      </c>
      <c r="O525">
        <v>5073207</v>
      </c>
      <c r="P525">
        <v>8168</v>
      </c>
      <c r="Q525" t="s">
        <v>385</v>
      </c>
      <c r="U525" t="s">
        <v>40</v>
      </c>
      <c r="V525" s="1">
        <v>45795</v>
      </c>
      <c r="W525" s="1">
        <v>46171</v>
      </c>
    </row>
    <row r="526" spans="1:24" x14ac:dyDescent="0.25">
      <c r="A526">
        <f t="shared" ca="1" si="44"/>
        <v>0</v>
      </c>
      <c r="C526">
        <f t="shared" ca="1" si="45"/>
        <v>0</v>
      </c>
      <c r="D526" t="s">
        <v>88</v>
      </c>
      <c r="E526" t="s">
        <v>27</v>
      </c>
      <c r="F526">
        <v>432</v>
      </c>
      <c r="G526" t="s">
        <v>70</v>
      </c>
      <c r="H526" t="s">
        <v>1187</v>
      </c>
      <c r="I526" t="s">
        <v>30</v>
      </c>
      <c r="J526" t="s">
        <v>88</v>
      </c>
      <c r="K526" t="s">
        <v>31</v>
      </c>
      <c r="L526" t="s">
        <v>1188</v>
      </c>
      <c r="M526">
        <v>6000</v>
      </c>
      <c r="N526">
        <v>397</v>
      </c>
      <c r="O526">
        <v>5033735</v>
      </c>
      <c r="P526">
        <v>14203</v>
      </c>
      <c r="Q526" t="s">
        <v>1189</v>
      </c>
      <c r="R526">
        <v>3106.62</v>
      </c>
      <c r="T526">
        <v>3106.62</v>
      </c>
    </row>
    <row r="527" spans="1:24" x14ac:dyDescent="0.25">
      <c r="A527">
        <f t="shared" ca="1" si="44"/>
        <v>0</v>
      </c>
      <c r="C527">
        <f t="shared" ca="1" si="45"/>
        <v>0</v>
      </c>
      <c r="D527" t="s">
        <v>95</v>
      </c>
      <c r="E527" t="s">
        <v>27</v>
      </c>
      <c r="F527">
        <v>244</v>
      </c>
      <c r="G527" t="s">
        <v>28</v>
      </c>
      <c r="H527" t="s">
        <v>1190</v>
      </c>
      <c r="I527" t="s">
        <v>30</v>
      </c>
      <c r="J527" t="s">
        <v>95</v>
      </c>
      <c r="K527" t="s">
        <v>31</v>
      </c>
      <c r="L527" t="s">
        <v>1191</v>
      </c>
      <c r="M527">
        <v>5000</v>
      </c>
      <c r="N527">
        <v>433</v>
      </c>
      <c r="X527" t="s">
        <v>1192</v>
      </c>
    </row>
    <row r="528" spans="1:24" x14ac:dyDescent="0.25">
      <c r="A528">
        <f t="shared" ca="1" si="44"/>
        <v>0</v>
      </c>
      <c r="C528">
        <f t="shared" ca="1" si="45"/>
        <v>0</v>
      </c>
      <c r="D528" t="s">
        <v>79</v>
      </c>
      <c r="E528" t="s">
        <v>58</v>
      </c>
      <c r="F528">
        <v>1464</v>
      </c>
      <c r="G528" t="s">
        <v>213</v>
      </c>
      <c r="H528" t="s">
        <v>1193</v>
      </c>
      <c r="I528" t="s">
        <v>30</v>
      </c>
      <c r="J528" t="s">
        <v>79</v>
      </c>
      <c r="K528" t="s">
        <v>215</v>
      </c>
      <c r="L528" t="s">
        <v>1194</v>
      </c>
      <c r="M528">
        <v>5000</v>
      </c>
      <c r="N528">
        <v>273</v>
      </c>
      <c r="O528">
        <v>5126616</v>
      </c>
      <c r="P528">
        <v>2391</v>
      </c>
      <c r="Q528" t="s">
        <v>314</v>
      </c>
      <c r="R528">
        <v>3289.42</v>
      </c>
      <c r="T528">
        <v>3289.42</v>
      </c>
      <c r="U528" t="s">
        <v>107</v>
      </c>
      <c r="V528" s="1">
        <v>46314</v>
      </c>
      <c r="W528" s="1">
        <v>46346</v>
      </c>
      <c r="X528" t="s">
        <v>1195</v>
      </c>
    </row>
    <row r="529" spans="1:24" x14ac:dyDescent="0.25">
      <c r="A529">
        <f t="shared" ca="1" si="44"/>
        <v>0</v>
      </c>
      <c r="C529">
        <f t="shared" ca="1" si="45"/>
        <v>0</v>
      </c>
      <c r="D529" t="s">
        <v>35</v>
      </c>
      <c r="E529" t="s">
        <v>237</v>
      </c>
      <c r="F529">
        <v>329</v>
      </c>
      <c r="G529" t="s">
        <v>884</v>
      </c>
      <c r="H529" t="s">
        <v>1196</v>
      </c>
      <c r="I529" t="s">
        <v>30</v>
      </c>
      <c r="J529" t="s">
        <v>35</v>
      </c>
      <c r="K529" t="s">
        <v>240</v>
      </c>
      <c r="L529" t="s">
        <v>1197</v>
      </c>
      <c r="O529">
        <v>5037342</v>
      </c>
      <c r="P529">
        <v>911</v>
      </c>
      <c r="Q529" t="s">
        <v>621</v>
      </c>
      <c r="R529">
        <v>7529.55</v>
      </c>
      <c r="S529">
        <v>7529.55</v>
      </c>
      <c r="T529">
        <v>0</v>
      </c>
      <c r="U529" t="s">
        <v>34</v>
      </c>
    </row>
    <row r="530" spans="1:24" x14ac:dyDescent="0.25">
      <c r="A530">
        <f t="shared" ca="1" si="44"/>
        <v>0</v>
      </c>
      <c r="C530">
        <f t="shared" ca="1" si="45"/>
        <v>0</v>
      </c>
      <c r="D530" t="s">
        <v>183</v>
      </c>
      <c r="E530" t="s">
        <v>49</v>
      </c>
      <c r="F530">
        <v>1238</v>
      </c>
      <c r="G530" t="s">
        <v>50</v>
      </c>
      <c r="H530" t="s">
        <v>1198</v>
      </c>
      <c r="I530" t="s">
        <v>187</v>
      </c>
      <c r="J530" t="s">
        <v>183</v>
      </c>
      <c r="K530" t="s">
        <v>52</v>
      </c>
      <c r="L530" t="s">
        <v>1199</v>
      </c>
      <c r="O530">
        <v>5045988</v>
      </c>
      <c r="P530">
        <v>16262</v>
      </c>
      <c r="Q530" t="s">
        <v>697</v>
      </c>
      <c r="R530">
        <v>3036</v>
      </c>
      <c r="S530">
        <v>3036</v>
      </c>
      <c r="T530">
        <v>0</v>
      </c>
      <c r="U530" t="s">
        <v>34</v>
      </c>
      <c r="V530" s="1">
        <v>46105</v>
      </c>
      <c r="W530" s="1">
        <v>46108</v>
      </c>
      <c r="X530" t="s">
        <v>56</v>
      </c>
    </row>
    <row r="531" spans="1:24" x14ac:dyDescent="0.25">
      <c r="A531">
        <f t="shared" ca="1" si="44"/>
        <v>0</v>
      </c>
      <c r="C531">
        <f t="shared" ca="1" si="45"/>
        <v>0</v>
      </c>
      <c r="D531" t="s">
        <v>285</v>
      </c>
      <c r="E531" t="s">
        <v>184</v>
      </c>
      <c r="F531">
        <v>1433</v>
      </c>
      <c r="G531" t="s">
        <v>192</v>
      </c>
      <c r="H531" t="s">
        <v>1200</v>
      </c>
      <c r="I531" t="s">
        <v>187</v>
      </c>
      <c r="J531" t="s">
        <v>285</v>
      </c>
      <c r="K531" t="s">
        <v>188</v>
      </c>
      <c r="L531" t="s">
        <v>1201</v>
      </c>
      <c r="O531">
        <v>5096921</v>
      </c>
      <c r="P531">
        <v>17125</v>
      </c>
      <c r="Q531" t="s">
        <v>721</v>
      </c>
      <c r="R531">
        <v>4739.63</v>
      </c>
      <c r="S531">
        <v>4739.63</v>
      </c>
      <c r="T531">
        <v>0</v>
      </c>
      <c r="U531" t="s">
        <v>34</v>
      </c>
      <c r="V531" s="1">
        <v>46230</v>
      </c>
      <c r="W531" s="1">
        <v>46241</v>
      </c>
    </row>
    <row r="532" spans="1:24" x14ac:dyDescent="0.25">
      <c r="A532">
        <f t="shared" ca="1" si="44"/>
        <v>0</v>
      </c>
      <c r="C532">
        <f t="shared" ca="1" si="45"/>
        <v>0</v>
      </c>
      <c r="D532" t="s">
        <v>88</v>
      </c>
      <c r="E532" t="s">
        <v>58</v>
      </c>
      <c r="F532">
        <v>787</v>
      </c>
      <c r="G532" t="s">
        <v>59</v>
      </c>
      <c r="H532" t="s">
        <v>1167</v>
      </c>
      <c r="I532" t="s">
        <v>30</v>
      </c>
      <c r="J532" t="s">
        <v>88</v>
      </c>
      <c r="K532" t="s">
        <v>61</v>
      </c>
      <c r="L532" t="s">
        <v>1202</v>
      </c>
      <c r="M532">
        <v>30000</v>
      </c>
      <c r="N532">
        <v>257</v>
      </c>
      <c r="O532">
        <v>5053016</v>
      </c>
      <c r="P532">
        <v>4146</v>
      </c>
      <c r="Q532" t="s">
        <v>91</v>
      </c>
    </row>
    <row r="533" spans="1:24" x14ac:dyDescent="0.25">
      <c r="A533">
        <f t="shared" ca="1" si="44"/>
        <v>0</v>
      </c>
      <c r="C533">
        <f t="shared" ca="1" si="45"/>
        <v>0</v>
      </c>
      <c r="D533" t="s">
        <v>562</v>
      </c>
      <c r="E533" t="s">
        <v>445</v>
      </c>
      <c r="F533">
        <v>1950</v>
      </c>
      <c r="G533" t="s">
        <v>446</v>
      </c>
      <c r="H533" t="s">
        <v>1203</v>
      </c>
      <c r="I533" t="s">
        <v>30</v>
      </c>
      <c r="J533" t="s">
        <v>562</v>
      </c>
      <c r="K533" t="s">
        <v>448</v>
      </c>
      <c r="L533" t="s">
        <v>1204</v>
      </c>
      <c r="M533">
        <v>7500</v>
      </c>
      <c r="N533">
        <v>566</v>
      </c>
      <c r="O533">
        <v>5101634</v>
      </c>
      <c r="P533">
        <v>5832</v>
      </c>
      <c r="Q533" t="s">
        <v>302</v>
      </c>
      <c r="R533">
        <v>7142.61</v>
      </c>
      <c r="S533">
        <v>0</v>
      </c>
      <c r="T533">
        <v>7142.61</v>
      </c>
      <c r="U533" t="s">
        <v>107</v>
      </c>
    </row>
    <row r="534" spans="1:24" x14ac:dyDescent="0.25">
      <c r="A534">
        <f t="shared" ca="1" si="44"/>
        <v>0</v>
      </c>
      <c r="C534">
        <f t="shared" ca="1" si="45"/>
        <v>0</v>
      </c>
      <c r="D534" t="s">
        <v>35</v>
      </c>
      <c r="E534" t="s">
        <v>297</v>
      </c>
      <c r="F534">
        <v>1352</v>
      </c>
      <c r="G534" t="s">
        <v>359</v>
      </c>
      <c r="H534" t="s">
        <v>360</v>
      </c>
      <c r="I534" t="s">
        <v>30</v>
      </c>
      <c r="J534" t="s">
        <v>35</v>
      </c>
      <c r="K534" t="s">
        <v>300</v>
      </c>
      <c r="L534" t="s">
        <v>1205</v>
      </c>
      <c r="O534">
        <v>5101037</v>
      </c>
      <c r="P534">
        <v>21743</v>
      </c>
      <c r="Q534" t="s">
        <v>511</v>
      </c>
      <c r="R534">
        <v>18426.38</v>
      </c>
      <c r="S534">
        <v>18426.38</v>
      </c>
      <c r="T534">
        <v>0</v>
      </c>
      <c r="U534" t="s">
        <v>34</v>
      </c>
      <c r="V534" s="1">
        <v>46244</v>
      </c>
      <c r="W534" s="1">
        <v>46265</v>
      </c>
    </row>
    <row r="535" spans="1:24" x14ac:dyDescent="0.25">
      <c r="A535">
        <f t="shared" ca="1" si="44"/>
        <v>0</v>
      </c>
      <c r="C535">
        <f t="shared" ca="1" si="45"/>
        <v>0</v>
      </c>
      <c r="D535" t="s">
        <v>74</v>
      </c>
      <c r="E535" t="s">
        <v>58</v>
      </c>
      <c r="F535">
        <v>1428</v>
      </c>
      <c r="G535" t="s">
        <v>747</v>
      </c>
      <c r="H535" t="s">
        <v>1206</v>
      </c>
      <c r="I535" t="s">
        <v>30</v>
      </c>
      <c r="J535" t="s">
        <v>74</v>
      </c>
      <c r="K535" t="s">
        <v>61</v>
      </c>
      <c r="L535" t="s">
        <v>1207</v>
      </c>
      <c r="M535">
        <v>78000</v>
      </c>
      <c r="N535">
        <v>264</v>
      </c>
      <c r="O535">
        <v>5116796</v>
      </c>
      <c r="P535">
        <v>39</v>
      </c>
      <c r="Q535" t="s">
        <v>779</v>
      </c>
    </row>
    <row r="536" spans="1:24" x14ac:dyDescent="0.25">
      <c r="A536">
        <f t="shared" ca="1" si="44"/>
        <v>0</v>
      </c>
      <c r="C536">
        <f t="shared" ca="1" si="45"/>
        <v>0</v>
      </c>
      <c r="D536" t="s">
        <v>41</v>
      </c>
      <c r="E536" t="s">
        <v>58</v>
      </c>
      <c r="F536">
        <v>340</v>
      </c>
      <c r="G536" t="s">
        <v>426</v>
      </c>
      <c r="H536" t="s">
        <v>468</v>
      </c>
      <c r="I536" t="s">
        <v>44</v>
      </c>
      <c r="J536" t="s">
        <v>41</v>
      </c>
      <c r="K536" t="s">
        <v>61</v>
      </c>
      <c r="L536" t="s">
        <v>1208</v>
      </c>
      <c r="P536">
        <v>1499</v>
      </c>
      <c r="Q536" t="s">
        <v>470</v>
      </c>
      <c r="R536">
        <v>2031.3</v>
      </c>
      <c r="S536">
        <v>2031.3</v>
      </c>
      <c r="T536">
        <v>0</v>
      </c>
      <c r="U536" t="s">
        <v>34</v>
      </c>
    </row>
    <row r="537" spans="1:24" x14ac:dyDescent="0.25">
      <c r="A537">
        <f t="shared" ca="1" si="44"/>
        <v>0</v>
      </c>
      <c r="C537">
        <f t="shared" ca="1" si="45"/>
        <v>0</v>
      </c>
      <c r="D537" t="s">
        <v>95</v>
      </c>
      <c r="E537" t="s">
        <v>58</v>
      </c>
      <c r="F537">
        <v>235</v>
      </c>
      <c r="G537" t="s">
        <v>747</v>
      </c>
      <c r="H537" t="s">
        <v>1209</v>
      </c>
      <c r="I537" t="s">
        <v>30</v>
      </c>
      <c r="J537" t="s">
        <v>95</v>
      </c>
      <c r="K537" t="s">
        <v>61</v>
      </c>
      <c r="L537" t="s">
        <v>1210</v>
      </c>
      <c r="P537">
        <v>27725</v>
      </c>
      <c r="Q537" t="s">
        <v>1211</v>
      </c>
      <c r="R537">
        <v>5179.2299999999996</v>
      </c>
      <c r="S537">
        <v>5179.2299999999996</v>
      </c>
      <c r="T537">
        <v>0</v>
      </c>
      <c r="U537" t="s">
        <v>34</v>
      </c>
    </row>
    <row r="538" spans="1:24" x14ac:dyDescent="0.25">
      <c r="A538">
        <f t="shared" ca="1" si="44"/>
        <v>0</v>
      </c>
      <c r="C538">
        <f t="shared" ca="1" si="45"/>
        <v>0</v>
      </c>
      <c r="D538" t="s">
        <v>26</v>
      </c>
      <c r="E538" t="s">
        <v>58</v>
      </c>
      <c r="F538">
        <v>112</v>
      </c>
      <c r="G538" t="s">
        <v>59</v>
      </c>
      <c r="H538" t="s">
        <v>1212</v>
      </c>
      <c r="I538" t="s">
        <v>30</v>
      </c>
      <c r="J538" t="s">
        <v>26</v>
      </c>
      <c r="K538" t="s">
        <v>61</v>
      </c>
      <c r="L538" t="s">
        <v>1213</v>
      </c>
      <c r="M538">
        <v>3000</v>
      </c>
      <c r="N538">
        <v>236</v>
      </c>
      <c r="P538">
        <v>144</v>
      </c>
      <c r="Q538" t="s">
        <v>1214</v>
      </c>
      <c r="R538">
        <v>2802.14</v>
      </c>
      <c r="S538">
        <v>2802.14</v>
      </c>
      <c r="T538">
        <v>0</v>
      </c>
      <c r="U538" t="s">
        <v>34</v>
      </c>
    </row>
    <row r="539" spans="1:24" x14ac:dyDescent="0.25">
      <c r="A539">
        <f t="shared" ca="1" si="44"/>
        <v>0</v>
      </c>
      <c r="C539">
        <f t="shared" ca="1" si="45"/>
        <v>0</v>
      </c>
      <c r="D539" t="s">
        <v>95</v>
      </c>
      <c r="E539" t="s">
        <v>58</v>
      </c>
      <c r="F539">
        <v>36</v>
      </c>
      <c r="G539" t="s">
        <v>897</v>
      </c>
      <c r="H539" t="s">
        <v>1215</v>
      </c>
      <c r="I539" t="s">
        <v>30</v>
      </c>
      <c r="J539" t="s">
        <v>95</v>
      </c>
      <c r="K539" t="s">
        <v>61</v>
      </c>
      <c r="L539" t="s">
        <v>1216</v>
      </c>
      <c r="P539">
        <v>6031</v>
      </c>
      <c r="Q539" t="s">
        <v>1215</v>
      </c>
      <c r="R539">
        <v>-228.77</v>
      </c>
      <c r="S539">
        <v>-228.77</v>
      </c>
      <c r="T539">
        <v>0</v>
      </c>
    </row>
    <row r="540" spans="1:24" x14ac:dyDescent="0.25">
      <c r="A540">
        <f t="shared" ca="1" si="44"/>
        <v>0</v>
      </c>
      <c r="C540">
        <f t="shared" ca="1" si="45"/>
        <v>0</v>
      </c>
      <c r="D540" t="s">
        <v>562</v>
      </c>
      <c r="E540" t="s">
        <v>64</v>
      </c>
      <c r="F540">
        <v>103</v>
      </c>
      <c r="G540" t="s">
        <v>1217</v>
      </c>
      <c r="H540" t="s">
        <v>1218</v>
      </c>
      <c r="I540" t="s">
        <v>30</v>
      </c>
      <c r="J540" t="s">
        <v>562</v>
      </c>
      <c r="K540" t="s">
        <v>67</v>
      </c>
      <c r="L540" t="s">
        <v>1219</v>
      </c>
      <c r="M540">
        <v>15000</v>
      </c>
      <c r="N540">
        <v>166</v>
      </c>
      <c r="O540">
        <v>5016682</v>
      </c>
      <c r="P540">
        <v>29</v>
      </c>
      <c r="Q540" t="s">
        <v>933</v>
      </c>
      <c r="R540">
        <v>14867.12</v>
      </c>
      <c r="S540">
        <v>14867.12</v>
      </c>
      <c r="T540">
        <v>0</v>
      </c>
      <c r="U540" t="s">
        <v>34</v>
      </c>
      <c r="V540" s="1">
        <v>46059</v>
      </c>
      <c r="W540" s="1">
        <v>46077</v>
      </c>
      <c r="X540" t="s">
        <v>1220</v>
      </c>
    </row>
    <row r="541" spans="1:24" x14ac:dyDescent="0.25">
      <c r="A541">
        <f t="shared" ca="1" si="44"/>
        <v>0</v>
      </c>
      <c r="C541">
        <f t="shared" ca="1" si="45"/>
        <v>0</v>
      </c>
      <c r="D541" t="s">
        <v>26</v>
      </c>
      <c r="E541" t="s">
        <v>58</v>
      </c>
      <c r="F541">
        <v>1846</v>
      </c>
      <c r="G541" t="s">
        <v>59</v>
      </c>
      <c r="H541" t="s">
        <v>1221</v>
      </c>
      <c r="I541" t="s">
        <v>30</v>
      </c>
      <c r="J541" t="s">
        <v>26</v>
      </c>
      <c r="K541" t="s">
        <v>215</v>
      </c>
      <c r="L541" t="s">
        <v>1222</v>
      </c>
      <c r="M541">
        <v>4100</v>
      </c>
      <c r="N541">
        <v>268</v>
      </c>
      <c r="O541">
        <v>5023565</v>
      </c>
      <c r="P541">
        <v>4551</v>
      </c>
      <c r="Q541" t="s">
        <v>461</v>
      </c>
      <c r="R541">
        <v>4115.9799999999996</v>
      </c>
      <c r="S541">
        <v>4115.9799999999996</v>
      </c>
      <c r="T541">
        <v>0</v>
      </c>
      <c r="U541" t="s">
        <v>34</v>
      </c>
      <c r="V541" s="1">
        <v>46076</v>
      </c>
      <c r="W541" s="1">
        <v>46115</v>
      </c>
      <c r="X541" t="s">
        <v>1223</v>
      </c>
    </row>
    <row r="542" spans="1:24" x14ac:dyDescent="0.25">
      <c r="A542">
        <f t="shared" ca="1" si="44"/>
        <v>0</v>
      </c>
      <c r="C542">
        <f t="shared" ca="1" si="45"/>
        <v>0</v>
      </c>
      <c r="D542" t="s">
        <v>221</v>
      </c>
      <c r="E542" t="s">
        <v>58</v>
      </c>
      <c r="F542">
        <v>182</v>
      </c>
      <c r="G542" t="s">
        <v>224</v>
      </c>
      <c r="H542" t="s">
        <v>1224</v>
      </c>
      <c r="I542" t="s">
        <v>187</v>
      </c>
      <c r="J542" t="s">
        <v>221</v>
      </c>
      <c r="K542" t="s">
        <v>61</v>
      </c>
      <c r="L542" t="s">
        <v>1225</v>
      </c>
      <c r="M542">
        <v>13000</v>
      </c>
      <c r="N542">
        <v>175</v>
      </c>
      <c r="O542">
        <v>5028608</v>
      </c>
      <c r="P542">
        <v>11982</v>
      </c>
      <c r="Q542" t="s">
        <v>1226</v>
      </c>
      <c r="R542">
        <v>1914.48</v>
      </c>
      <c r="S542">
        <v>1828.87</v>
      </c>
      <c r="T542">
        <v>85.61</v>
      </c>
      <c r="U542" t="s">
        <v>34</v>
      </c>
      <c r="X542" t="s">
        <v>1227</v>
      </c>
    </row>
    <row r="543" spans="1:24" x14ac:dyDescent="0.25">
      <c r="A543">
        <f t="shared" ca="1" si="44"/>
        <v>0</v>
      </c>
      <c r="C543">
        <f t="shared" ca="1" si="45"/>
        <v>0</v>
      </c>
      <c r="D543" t="s">
        <v>26</v>
      </c>
      <c r="E543" t="s">
        <v>58</v>
      </c>
      <c r="F543">
        <v>222</v>
      </c>
      <c r="G543" t="s">
        <v>224</v>
      </c>
      <c r="H543" t="s">
        <v>1228</v>
      </c>
      <c r="I543" t="s">
        <v>30</v>
      </c>
      <c r="J543" t="s">
        <v>26</v>
      </c>
      <c r="K543" t="s">
        <v>61</v>
      </c>
      <c r="L543" t="s">
        <v>717</v>
      </c>
      <c r="M543">
        <v>15000</v>
      </c>
      <c r="N543">
        <v>246</v>
      </c>
      <c r="O543">
        <v>5013275</v>
      </c>
      <c r="P543">
        <v>81</v>
      </c>
      <c r="Q543" t="s">
        <v>102</v>
      </c>
      <c r="R543">
        <v>14764.66</v>
      </c>
      <c r="T543">
        <v>14764.66</v>
      </c>
      <c r="U543" t="s">
        <v>107</v>
      </c>
      <c r="V543" s="1">
        <v>46327</v>
      </c>
      <c r="W543" s="1">
        <v>46387</v>
      </c>
      <c r="X543" t="s">
        <v>296</v>
      </c>
    </row>
    <row r="544" spans="1:24" x14ac:dyDescent="0.25">
      <c r="A544">
        <f t="shared" ca="1" si="44"/>
        <v>0</v>
      </c>
      <c r="C544">
        <f t="shared" ca="1" si="45"/>
        <v>0</v>
      </c>
      <c r="D544" t="s">
        <v>26</v>
      </c>
      <c r="E544" t="s">
        <v>58</v>
      </c>
      <c r="F544">
        <v>222</v>
      </c>
      <c r="G544" t="s">
        <v>224</v>
      </c>
      <c r="H544" t="s">
        <v>1228</v>
      </c>
      <c r="I544" t="s">
        <v>30</v>
      </c>
      <c r="J544" t="s">
        <v>26</v>
      </c>
      <c r="K544" t="s">
        <v>61</v>
      </c>
      <c r="L544" t="s">
        <v>151</v>
      </c>
      <c r="M544">
        <v>88000</v>
      </c>
      <c r="N544">
        <v>247</v>
      </c>
      <c r="O544">
        <v>5014998</v>
      </c>
      <c r="P544">
        <v>81</v>
      </c>
      <c r="Q544" t="s">
        <v>102</v>
      </c>
      <c r="R544">
        <v>88017.84</v>
      </c>
      <c r="T544">
        <v>88017.84</v>
      </c>
      <c r="U544" t="s">
        <v>107</v>
      </c>
      <c r="V544" s="1">
        <v>46327</v>
      </c>
      <c r="W544" s="1">
        <v>46387</v>
      </c>
      <c r="X544" t="s">
        <v>296</v>
      </c>
    </row>
    <row r="545" spans="1:24" x14ac:dyDescent="0.25">
      <c r="A545">
        <f t="shared" ca="1" si="44"/>
        <v>0</v>
      </c>
      <c r="C545">
        <f t="shared" ca="1" si="45"/>
        <v>0</v>
      </c>
      <c r="D545" t="s">
        <v>209</v>
      </c>
      <c r="E545" t="s">
        <v>58</v>
      </c>
      <c r="F545">
        <v>46</v>
      </c>
      <c r="G545" t="s">
        <v>747</v>
      </c>
      <c r="H545" t="s">
        <v>1057</v>
      </c>
      <c r="I545" t="s">
        <v>44</v>
      </c>
      <c r="J545" t="s">
        <v>209</v>
      </c>
      <c r="K545" t="s">
        <v>61</v>
      </c>
      <c r="L545" t="s">
        <v>1229</v>
      </c>
      <c r="M545">
        <v>8000</v>
      </c>
      <c r="N545">
        <v>210</v>
      </c>
      <c r="O545">
        <v>5024080</v>
      </c>
      <c r="P545">
        <v>153</v>
      </c>
      <c r="Q545" t="s">
        <v>98</v>
      </c>
      <c r="R545">
        <v>881.23</v>
      </c>
      <c r="T545">
        <v>881.23</v>
      </c>
      <c r="U545" t="s">
        <v>107</v>
      </c>
      <c r="V545" s="1">
        <v>46293</v>
      </c>
      <c r="W545" s="1">
        <v>46294</v>
      </c>
      <c r="X545" t="s">
        <v>296</v>
      </c>
    </row>
    <row r="546" spans="1:24" x14ac:dyDescent="0.25">
      <c r="A546">
        <f t="shared" ca="1" si="44"/>
        <v>0</v>
      </c>
      <c r="C546">
        <f t="shared" ca="1" si="45"/>
        <v>0</v>
      </c>
      <c r="D546" t="s">
        <v>203</v>
      </c>
      <c r="E546" t="s">
        <v>58</v>
      </c>
      <c r="F546">
        <v>66</v>
      </c>
      <c r="G546" t="s">
        <v>464</v>
      </c>
      <c r="H546" t="s">
        <v>1230</v>
      </c>
      <c r="I546" t="s">
        <v>44</v>
      </c>
      <c r="J546" t="s">
        <v>203</v>
      </c>
      <c r="K546" t="s">
        <v>61</v>
      </c>
      <c r="L546" t="s">
        <v>1231</v>
      </c>
      <c r="M546">
        <v>67000</v>
      </c>
      <c r="N546">
        <v>193</v>
      </c>
      <c r="O546">
        <v>5015704</v>
      </c>
      <c r="P546">
        <v>6302</v>
      </c>
      <c r="Q546" t="s">
        <v>1232</v>
      </c>
      <c r="R546">
        <v>56992.85</v>
      </c>
      <c r="S546">
        <v>17097.87</v>
      </c>
      <c r="T546">
        <v>39894.980000000003</v>
      </c>
      <c r="U546" t="s">
        <v>40</v>
      </c>
      <c r="V546" s="1">
        <v>46272</v>
      </c>
      <c r="W546" s="1">
        <v>46367</v>
      </c>
      <c r="X546" t="s">
        <v>296</v>
      </c>
    </row>
    <row r="547" spans="1:24" x14ac:dyDescent="0.25">
      <c r="A547">
        <f t="shared" ca="1" si="44"/>
        <v>0</v>
      </c>
      <c r="C547">
        <f t="shared" ca="1" si="45"/>
        <v>0</v>
      </c>
      <c r="D547" t="s">
        <v>26</v>
      </c>
      <c r="E547" t="s">
        <v>58</v>
      </c>
      <c r="F547">
        <v>474</v>
      </c>
      <c r="G547" t="s">
        <v>293</v>
      </c>
      <c r="H547" t="s">
        <v>1233</v>
      </c>
      <c r="I547" t="s">
        <v>30</v>
      </c>
      <c r="J547" t="s">
        <v>26</v>
      </c>
      <c r="K547" t="s">
        <v>61</v>
      </c>
      <c r="L547" t="s">
        <v>1234</v>
      </c>
      <c r="M547">
        <v>5000</v>
      </c>
      <c r="N547">
        <v>251</v>
      </c>
      <c r="O547">
        <v>5010870</v>
      </c>
      <c r="P547">
        <v>7668</v>
      </c>
      <c r="Q547" t="s">
        <v>1235</v>
      </c>
      <c r="R547">
        <v>4888.6499999999996</v>
      </c>
      <c r="S547">
        <v>4888.6499999999996</v>
      </c>
      <c r="T547">
        <v>0</v>
      </c>
      <c r="U547" t="s">
        <v>34</v>
      </c>
      <c r="X547" t="s">
        <v>296</v>
      </c>
    </row>
    <row r="548" spans="1:24" x14ac:dyDescent="0.25">
      <c r="A548">
        <f t="shared" ca="1" si="44"/>
        <v>0</v>
      </c>
      <c r="C548">
        <f t="shared" ca="1" si="45"/>
        <v>0</v>
      </c>
      <c r="D548" t="s">
        <v>35</v>
      </c>
      <c r="E548" t="s">
        <v>184</v>
      </c>
      <c r="F548">
        <v>913</v>
      </c>
      <c r="G548" t="s">
        <v>334</v>
      </c>
      <c r="H548" t="s">
        <v>1236</v>
      </c>
      <c r="I548" t="s">
        <v>30</v>
      </c>
      <c r="J548" t="s">
        <v>35</v>
      </c>
      <c r="K548" t="s">
        <v>188</v>
      </c>
      <c r="L548" t="s">
        <v>1237</v>
      </c>
      <c r="O548">
        <v>5029177</v>
      </c>
      <c r="P548">
        <v>818</v>
      </c>
      <c r="Q548" t="s">
        <v>1238</v>
      </c>
      <c r="R548">
        <v>2732.68</v>
      </c>
      <c r="S548">
        <v>2732.68</v>
      </c>
      <c r="T548">
        <v>0</v>
      </c>
      <c r="U548" t="s">
        <v>34</v>
      </c>
    </row>
    <row r="549" spans="1:24" x14ac:dyDescent="0.25">
      <c r="A549">
        <f t="shared" ca="1" si="44"/>
        <v>0</v>
      </c>
      <c r="C549">
        <f t="shared" ca="1" si="45"/>
        <v>0</v>
      </c>
      <c r="D549" t="s">
        <v>74</v>
      </c>
      <c r="E549" t="s">
        <v>58</v>
      </c>
      <c r="F549">
        <v>1294</v>
      </c>
      <c r="G549" t="s">
        <v>464</v>
      </c>
      <c r="H549" t="s">
        <v>1239</v>
      </c>
      <c r="I549" t="s">
        <v>30</v>
      </c>
      <c r="J549" t="s">
        <v>74</v>
      </c>
      <c r="K549" t="s">
        <v>61</v>
      </c>
      <c r="L549" t="s">
        <v>1240</v>
      </c>
      <c r="O549">
        <v>5032057</v>
      </c>
      <c r="P549">
        <v>1</v>
      </c>
      <c r="Q549" t="s">
        <v>636</v>
      </c>
      <c r="R549">
        <v>1825.13</v>
      </c>
      <c r="S549">
        <v>1825.13</v>
      </c>
      <c r="T549">
        <v>0</v>
      </c>
      <c r="U549" t="s">
        <v>34</v>
      </c>
      <c r="X549" t="s">
        <v>593</v>
      </c>
    </row>
    <row r="550" spans="1:24" x14ac:dyDescent="0.25">
      <c r="A550">
        <f t="shared" ca="1" si="44"/>
        <v>0</v>
      </c>
      <c r="C550">
        <f t="shared" ca="1" si="45"/>
        <v>0</v>
      </c>
      <c r="D550" t="s">
        <v>35</v>
      </c>
      <c r="E550" t="s">
        <v>237</v>
      </c>
      <c r="F550">
        <v>90</v>
      </c>
      <c r="G550" t="s">
        <v>907</v>
      </c>
      <c r="H550" t="s">
        <v>1241</v>
      </c>
      <c r="I550" t="s">
        <v>30</v>
      </c>
      <c r="J550" t="s">
        <v>35</v>
      </c>
      <c r="K550" t="s">
        <v>240</v>
      </c>
      <c r="L550" t="s">
        <v>1242</v>
      </c>
      <c r="O550">
        <v>5033842</v>
      </c>
      <c r="P550">
        <v>911</v>
      </c>
      <c r="Q550" t="s">
        <v>621</v>
      </c>
      <c r="R550">
        <v>1686.66</v>
      </c>
      <c r="S550">
        <v>1686.66</v>
      </c>
      <c r="T550">
        <v>0</v>
      </c>
      <c r="U550" t="s">
        <v>34</v>
      </c>
    </row>
    <row r="551" spans="1:24" x14ac:dyDescent="0.25">
      <c r="A551">
        <f t="shared" ca="1" si="44"/>
        <v>0</v>
      </c>
      <c r="C551">
        <f t="shared" ca="1" si="45"/>
        <v>0</v>
      </c>
      <c r="D551" t="s">
        <v>236</v>
      </c>
      <c r="E551" t="s">
        <v>245</v>
      </c>
      <c r="F551">
        <v>948</v>
      </c>
      <c r="G551" t="s">
        <v>771</v>
      </c>
      <c r="H551" t="s">
        <v>1131</v>
      </c>
      <c r="I551" t="s">
        <v>44</v>
      </c>
      <c r="J551" t="s">
        <v>236</v>
      </c>
      <c r="K551" t="s">
        <v>188</v>
      </c>
      <c r="L551" t="s">
        <v>1243</v>
      </c>
      <c r="M551">
        <v>6500</v>
      </c>
      <c r="N551">
        <v>749</v>
      </c>
      <c r="O551">
        <v>4996450</v>
      </c>
      <c r="P551">
        <v>5837</v>
      </c>
      <c r="Q551" t="s">
        <v>1244</v>
      </c>
      <c r="R551">
        <v>2333.52</v>
      </c>
      <c r="S551">
        <v>2333.52</v>
      </c>
      <c r="U551" t="s">
        <v>34</v>
      </c>
    </row>
    <row r="552" spans="1:24" x14ac:dyDescent="0.25">
      <c r="A552">
        <f t="shared" ca="1" si="44"/>
        <v>0</v>
      </c>
      <c r="C552">
        <f t="shared" ca="1" si="45"/>
        <v>0</v>
      </c>
      <c r="D552" t="s">
        <v>57</v>
      </c>
      <c r="E552" t="s">
        <v>64</v>
      </c>
      <c r="F552">
        <v>141</v>
      </c>
      <c r="G552" t="s">
        <v>605</v>
      </c>
      <c r="H552" t="s">
        <v>606</v>
      </c>
      <c r="I552" t="s">
        <v>44</v>
      </c>
      <c r="J552" t="s">
        <v>57</v>
      </c>
      <c r="K552" t="s">
        <v>67</v>
      </c>
      <c r="L552" t="s">
        <v>1245</v>
      </c>
      <c r="M552">
        <v>15000</v>
      </c>
      <c r="N552">
        <v>112</v>
      </c>
      <c r="O552">
        <v>5035414</v>
      </c>
      <c r="P552">
        <v>503</v>
      </c>
      <c r="Q552" t="s">
        <v>1246</v>
      </c>
      <c r="R552">
        <v>2451.2399999999998</v>
      </c>
      <c r="S552">
        <v>2451.2399999999998</v>
      </c>
      <c r="T552">
        <v>0</v>
      </c>
      <c r="U552" t="s">
        <v>34</v>
      </c>
      <c r="V552" s="1">
        <v>46086</v>
      </c>
      <c r="W552" s="1">
        <v>46099</v>
      </c>
      <c r="X552" t="s">
        <v>1247</v>
      </c>
    </row>
    <row r="553" spans="1:24" x14ac:dyDescent="0.25">
      <c r="A553">
        <f t="shared" ca="1" si="44"/>
        <v>0</v>
      </c>
      <c r="C553">
        <f t="shared" ca="1" si="45"/>
        <v>0</v>
      </c>
      <c r="D553" t="s">
        <v>203</v>
      </c>
      <c r="E553" t="s">
        <v>184</v>
      </c>
      <c r="F553">
        <v>897</v>
      </c>
      <c r="G553" t="s">
        <v>185</v>
      </c>
      <c r="H553" t="s">
        <v>204</v>
      </c>
      <c r="I553" t="s">
        <v>44</v>
      </c>
      <c r="J553" t="s">
        <v>203</v>
      </c>
      <c r="K553" t="s">
        <v>188</v>
      </c>
      <c r="L553" t="s">
        <v>1248</v>
      </c>
      <c r="M553">
        <v>23000</v>
      </c>
      <c r="N553">
        <v>448</v>
      </c>
      <c r="O553">
        <v>5035679</v>
      </c>
      <c r="P553">
        <v>480</v>
      </c>
      <c r="Q553" t="s">
        <v>208</v>
      </c>
      <c r="R553">
        <v>2747.02</v>
      </c>
      <c r="S553">
        <v>2747.02</v>
      </c>
      <c r="T553">
        <v>0</v>
      </c>
      <c r="U553" t="s">
        <v>34</v>
      </c>
    </row>
    <row r="554" spans="1:24" x14ac:dyDescent="0.25">
      <c r="A554">
        <f t="shared" ca="1" si="44"/>
        <v>0</v>
      </c>
      <c r="C554">
        <f t="shared" ca="1" si="45"/>
        <v>0</v>
      </c>
      <c r="D554" t="s">
        <v>74</v>
      </c>
      <c r="E554" t="s">
        <v>58</v>
      </c>
      <c r="F554">
        <v>1411</v>
      </c>
      <c r="G554" t="s">
        <v>747</v>
      </c>
      <c r="H554" t="s">
        <v>1249</v>
      </c>
      <c r="I554" t="s">
        <v>30</v>
      </c>
      <c r="J554" t="s">
        <v>74</v>
      </c>
      <c r="K554" t="s">
        <v>61</v>
      </c>
      <c r="L554" t="s">
        <v>1250</v>
      </c>
      <c r="M554">
        <v>35000</v>
      </c>
      <c r="N554">
        <v>263</v>
      </c>
      <c r="O554">
        <v>5072667</v>
      </c>
      <c r="P554">
        <v>4921</v>
      </c>
      <c r="Q554" t="s">
        <v>94</v>
      </c>
      <c r="R554">
        <v>0</v>
      </c>
      <c r="T554">
        <v>0</v>
      </c>
    </row>
    <row r="555" spans="1:24" x14ac:dyDescent="0.25">
      <c r="A555">
        <f t="shared" ca="1" si="44"/>
        <v>0</v>
      </c>
      <c r="C555">
        <f t="shared" ca="1" si="45"/>
        <v>0</v>
      </c>
      <c r="D555" t="s">
        <v>88</v>
      </c>
      <c r="E555" t="s">
        <v>184</v>
      </c>
      <c r="F555">
        <v>905</v>
      </c>
      <c r="G555" t="s">
        <v>192</v>
      </c>
      <c r="H555" t="s">
        <v>1251</v>
      </c>
      <c r="I555" t="s">
        <v>30</v>
      </c>
      <c r="J555" t="s">
        <v>88</v>
      </c>
      <c r="K555" t="s">
        <v>188</v>
      </c>
      <c r="L555" t="s">
        <v>1252</v>
      </c>
      <c r="O555">
        <v>5037498</v>
      </c>
      <c r="P555">
        <v>517</v>
      </c>
      <c r="Q555" t="s">
        <v>1253</v>
      </c>
      <c r="R555">
        <v>4800.82</v>
      </c>
      <c r="S555">
        <v>4800.82</v>
      </c>
      <c r="T555">
        <v>0</v>
      </c>
      <c r="U555" t="s">
        <v>34</v>
      </c>
      <c r="V555" s="1">
        <v>46090</v>
      </c>
      <c r="W555" s="1">
        <v>46094</v>
      </c>
    </row>
    <row r="556" spans="1:24" x14ac:dyDescent="0.25">
      <c r="A556">
        <f t="shared" ca="1" si="44"/>
        <v>0</v>
      </c>
      <c r="C556">
        <f t="shared" ca="1" si="45"/>
        <v>0</v>
      </c>
      <c r="D556" t="s">
        <v>196</v>
      </c>
      <c r="E556" t="s">
        <v>627</v>
      </c>
      <c r="F556">
        <v>1989</v>
      </c>
      <c r="G556" t="s">
        <v>1120</v>
      </c>
      <c r="H556" t="s">
        <v>1105</v>
      </c>
      <c r="I556" t="s">
        <v>187</v>
      </c>
      <c r="J556" t="s">
        <v>196</v>
      </c>
      <c r="K556" t="s">
        <v>188</v>
      </c>
      <c r="L556" t="s">
        <v>1254</v>
      </c>
      <c r="O556">
        <v>5037977</v>
      </c>
      <c r="P556">
        <v>4147</v>
      </c>
      <c r="Q556" t="s">
        <v>1110</v>
      </c>
      <c r="R556">
        <v>2885.15</v>
      </c>
      <c r="S556">
        <v>2885.15</v>
      </c>
      <c r="T556">
        <v>0</v>
      </c>
      <c r="U556" t="s">
        <v>34</v>
      </c>
    </row>
    <row r="557" spans="1:24" x14ac:dyDescent="0.25">
      <c r="A557">
        <f t="shared" ca="1" si="44"/>
        <v>0</v>
      </c>
      <c r="C557">
        <f t="shared" ca="1" si="45"/>
        <v>0</v>
      </c>
      <c r="D557" t="s">
        <v>88</v>
      </c>
      <c r="E557" t="s">
        <v>237</v>
      </c>
      <c r="F557">
        <v>1308</v>
      </c>
      <c r="G557" t="s">
        <v>887</v>
      </c>
      <c r="H557" t="s">
        <v>1255</v>
      </c>
      <c r="I557" t="s">
        <v>30</v>
      </c>
      <c r="J557" t="s">
        <v>88</v>
      </c>
      <c r="K557" t="s">
        <v>240</v>
      </c>
      <c r="L557" t="s">
        <v>1256</v>
      </c>
      <c r="O557">
        <v>5037984</v>
      </c>
      <c r="P557">
        <v>4921</v>
      </c>
      <c r="Q557" t="s">
        <v>94</v>
      </c>
      <c r="R557">
        <v>4373.7700000000004</v>
      </c>
      <c r="S557">
        <v>4373.7700000000004</v>
      </c>
      <c r="T557">
        <v>0</v>
      </c>
      <c r="U557" t="s">
        <v>34</v>
      </c>
    </row>
    <row r="558" spans="1:24" x14ac:dyDescent="0.25">
      <c r="A558">
        <f t="shared" ca="1" si="44"/>
        <v>0</v>
      </c>
      <c r="C558">
        <f t="shared" ca="1" si="45"/>
        <v>0</v>
      </c>
      <c r="D558" t="s">
        <v>221</v>
      </c>
      <c r="E558" t="s">
        <v>27</v>
      </c>
      <c r="F558">
        <v>361</v>
      </c>
      <c r="G558" t="s">
        <v>114</v>
      </c>
      <c r="H558" t="s">
        <v>1257</v>
      </c>
      <c r="I558" t="s">
        <v>187</v>
      </c>
      <c r="J558" t="s">
        <v>221</v>
      </c>
      <c r="K558" t="s">
        <v>31</v>
      </c>
      <c r="L558" t="s">
        <v>1258</v>
      </c>
      <c r="M558">
        <v>10000</v>
      </c>
      <c r="N558">
        <v>311</v>
      </c>
      <c r="O558">
        <v>5039995</v>
      </c>
      <c r="P558">
        <v>15542</v>
      </c>
      <c r="Q558" t="s">
        <v>1259</v>
      </c>
      <c r="R558">
        <v>2369.4</v>
      </c>
      <c r="S558">
        <v>2369.4</v>
      </c>
      <c r="T558">
        <v>0</v>
      </c>
      <c r="U558" t="s">
        <v>34</v>
      </c>
      <c r="V558" s="1">
        <v>46096</v>
      </c>
      <c r="W558" s="1">
        <v>46111</v>
      </c>
    </row>
    <row r="559" spans="1:24" x14ac:dyDescent="0.25">
      <c r="A559">
        <f t="shared" ca="1" si="44"/>
        <v>0</v>
      </c>
      <c r="C559">
        <f t="shared" ca="1" si="45"/>
        <v>0</v>
      </c>
      <c r="D559" t="s">
        <v>41</v>
      </c>
      <c r="E559" t="s">
        <v>237</v>
      </c>
      <c r="F559">
        <v>363</v>
      </c>
      <c r="G559" t="s">
        <v>238</v>
      </c>
      <c r="H559" t="s">
        <v>1260</v>
      </c>
      <c r="I559" t="s">
        <v>44</v>
      </c>
      <c r="J559" t="s">
        <v>41</v>
      </c>
      <c r="K559" t="s">
        <v>240</v>
      </c>
      <c r="L559" t="s">
        <v>1261</v>
      </c>
      <c r="M559">
        <v>25000</v>
      </c>
      <c r="N559">
        <v>51</v>
      </c>
      <c r="O559">
        <v>5040810</v>
      </c>
      <c r="P559">
        <v>5978</v>
      </c>
      <c r="Q559" t="s">
        <v>54</v>
      </c>
      <c r="R559">
        <v>7532.7</v>
      </c>
      <c r="S559">
        <v>7532.7</v>
      </c>
      <c r="T559">
        <v>0</v>
      </c>
      <c r="U559" t="s">
        <v>34</v>
      </c>
    </row>
    <row r="560" spans="1:24" x14ac:dyDescent="0.25">
      <c r="A560">
        <f t="shared" ca="1" si="44"/>
        <v>0</v>
      </c>
      <c r="C560">
        <f t="shared" ca="1" si="45"/>
        <v>0</v>
      </c>
      <c r="D560" t="s">
        <v>41</v>
      </c>
      <c r="E560" t="s">
        <v>58</v>
      </c>
      <c r="F560">
        <v>531</v>
      </c>
      <c r="G560" t="s">
        <v>897</v>
      </c>
      <c r="H560" t="s">
        <v>1262</v>
      </c>
      <c r="I560" t="s">
        <v>44</v>
      </c>
      <c r="J560" t="s">
        <v>41</v>
      </c>
      <c r="K560" t="s">
        <v>61</v>
      </c>
      <c r="L560" t="s">
        <v>1263</v>
      </c>
      <c r="M560">
        <v>15000</v>
      </c>
      <c r="N560">
        <v>203</v>
      </c>
      <c r="O560">
        <v>5013327</v>
      </c>
      <c r="P560">
        <v>25204</v>
      </c>
      <c r="Q560" t="s">
        <v>46</v>
      </c>
      <c r="R560">
        <v>14127.2</v>
      </c>
      <c r="S560">
        <v>14127.2</v>
      </c>
      <c r="T560">
        <v>0</v>
      </c>
      <c r="U560" t="s">
        <v>34</v>
      </c>
      <c r="V560" s="1">
        <v>46097</v>
      </c>
      <c r="W560" s="1">
        <v>46111</v>
      </c>
    </row>
    <row r="561" spans="1:26" x14ac:dyDescent="0.25">
      <c r="A561">
        <f t="shared" ca="1" si="44"/>
        <v>0</v>
      </c>
      <c r="C561">
        <f t="shared" ca="1" si="45"/>
        <v>0</v>
      </c>
      <c r="D561" t="s">
        <v>203</v>
      </c>
      <c r="E561" t="s">
        <v>297</v>
      </c>
      <c r="F561">
        <v>1352</v>
      </c>
      <c r="G561" t="s">
        <v>359</v>
      </c>
      <c r="H561" t="s">
        <v>1264</v>
      </c>
      <c r="I561" t="s">
        <v>44</v>
      </c>
      <c r="J561" t="s">
        <v>203</v>
      </c>
      <c r="K561" t="s">
        <v>300</v>
      </c>
      <c r="L561" t="s">
        <v>1265</v>
      </c>
      <c r="M561">
        <v>12000</v>
      </c>
      <c r="N561">
        <v>494</v>
      </c>
      <c r="O561">
        <v>5043979</v>
      </c>
      <c r="P561">
        <v>28284</v>
      </c>
      <c r="Q561" t="s">
        <v>362</v>
      </c>
      <c r="R561">
        <v>11550</v>
      </c>
      <c r="S561">
        <v>11550</v>
      </c>
      <c r="T561">
        <v>0</v>
      </c>
      <c r="U561" t="s">
        <v>34</v>
      </c>
      <c r="V561" s="1">
        <v>46104</v>
      </c>
      <c r="W561" s="1">
        <v>46115</v>
      </c>
    </row>
    <row r="562" spans="1:26" x14ac:dyDescent="0.25">
      <c r="A562">
        <f t="shared" ca="1" si="44"/>
        <v>0</v>
      </c>
      <c r="C562">
        <f t="shared" ca="1" si="45"/>
        <v>0</v>
      </c>
      <c r="D562" t="s">
        <v>285</v>
      </c>
      <c r="E562" t="s">
        <v>237</v>
      </c>
      <c r="F562">
        <v>452</v>
      </c>
      <c r="G562" t="s">
        <v>884</v>
      </c>
      <c r="H562" t="s">
        <v>1266</v>
      </c>
      <c r="I562" t="s">
        <v>187</v>
      </c>
      <c r="J562" t="s">
        <v>285</v>
      </c>
      <c r="K562" t="s">
        <v>240</v>
      </c>
      <c r="L562" t="s">
        <v>1267</v>
      </c>
      <c r="M562">
        <v>2500</v>
      </c>
      <c r="N562">
        <v>2</v>
      </c>
      <c r="O562">
        <v>5044904</v>
      </c>
      <c r="P562">
        <v>2219</v>
      </c>
      <c r="Q562" t="s">
        <v>616</v>
      </c>
      <c r="R562">
        <v>4739.45</v>
      </c>
      <c r="S562">
        <v>4739.45</v>
      </c>
      <c r="U562" t="s">
        <v>34</v>
      </c>
    </row>
    <row r="563" spans="1:26" x14ac:dyDescent="0.25">
      <c r="A563">
        <f t="shared" ca="1" si="44"/>
        <v>0</v>
      </c>
      <c r="C563">
        <f t="shared" ca="1" si="45"/>
        <v>0</v>
      </c>
      <c r="D563" t="s">
        <v>35</v>
      </c>
      <c r="E563" t="s">
        <v>64</v>
      </c>
      <c r="F563">
        <v>1363</v>
      </c>
      <c r="G563" t="s">
        <v>755</v>
      </c>
      <c r="H563" t="s">
        <v>1268</v>
      </c>
      <c r="I563" t="s">
        <v>30</v>
      </c>
      <c r="J563" t="s">
        <v>35</v>
      </c>
      <c r="K563" t="s">
        <v>67</v>
      </c>
      <c r="L563" t="s">
        <v>1269</v>
      </c>
      <c r="O563">
        <v>5045892</v>
      </c>
      <c r="P563">
        <v>3718</v>
      </c>
      <c r="Q563" t="s">
        <v>113</v>
      </c>
      <c r="R563">
        <v>4799.0600000000004</v>
      </c>
      <c r="S563">
        <v>4799.0600000000004</v>
      </c>
      <c r="T563">
        <v>0</v>
      </c>
      <c r="U563" t="s">
        <v>34</v>
      </c>
      <c r="V563" s="1">
        <v>46101</v>
      </c>
      <c r="W563" s="1">
        <v>46108</v>
      </c>
    </row>
    <row r="564" spans="1:26" x14ac:dyDescent="0.25">
      <c r="A564">
        <f t="shared" ca="1" si="44"/>
        <v>0</v>
      </c>
      <c r="C564">
        <f t="shared" ca="1" si="45"/>
        <v>0</v>
      </c>
      <c r="D564" t="s">
        <v>35</v>
      </c>
      <c r="E564" t="s">
        <v>64</v>
      </c>
      <c r="F564">
        <v>2095</v>
      </c>
      <c r="G564" t="s">
        <v>65</v>
      </c>
      <c r="H564" t="s">
        <v>1270</v>
      </c>
      <c r="I564" t="s">
        <v>30</v>
      </c>
      <c r="J564" t="s">
        <v>35</v>
      </c>
      <c r="K564" t="s">
        <v>67</v>
      </c>
      <c r="L564" t="s">
        <v>1271</v>
      </c>
      <c r="M564">
        <v>10000</v>
      </c>
      <c r="N564">
        <v>160</v>
      </c>
      <c r="X564" t="s">
        <v>1272</v>
      </c>
    </row>
    <row r="565" spans="1:26" x14ac:dyDescent="0.25">
      <c r="A565" t="s">
        <v>163</v>
      </c>
    </row>
    <row r="566" spans="1:26" x14ac:dyDescent="0.25">
      <c r="A566">
        <f t="shared" ref="A566:A597" ca="1" si="46">+ Cmde</f>
        <v>0</v>
      </c>
      <c r="C566">
        <f t="shared" ref="C566:C597" ca="1" si="47">+ Devis</f>
        <v>0</v>
      </c>
      <c r="D566" t="s">
        <v>285</v>
      </c>
      <c r="E566" t="s">
        <v>49</v>
      </c>
      <c r="F566">
        <v>1553</v>
      </c>
      <c r="G566" t="s">
        <v>263</v>
      </c>
      <c r="H566" t="s">
        <v>1273</v>
      </c>
      <c r="I566" t="s">
        <v>187</v>
      </c>
      <c r="J566" t="s">
        <v>285</v>
      </c>
      <c r="K566" t="s">
        <v>52</v>
      </c>
      <c r="L566" t="s">
        <v>1274</v>
      </c>
      <c r="M566">
        <v>3000</v>
      </c>
      <c r="N566">
        <v>657</v>
      </c>
      <c r="O566">
        <v>5032190</v>
      </c>
      <c r="P566">
        <v>166</v>
      </c>
      <c r="Q566" t="s">
        <v>681</v>
      </c>
      <c r="R566">
        <v>2194.7199999999998</v>
      </c>
      <c r="S566">
        <v>2194.7199999999998</v>
      </c>
      <c r="T566">
        <v>0</v>
      </c>
      <c r="U566" t="s">
        <v>34</v>
      </c>
      <c r="V566" s="1">
        <v>46104</v>
      </c>
      <c r="W566" s="1">
        <v>46108</v>
      </c>
    </row>
    <row r="567" spans="1:26" x14ac:dyDescent="0.25">
      <c r="A567">
        <f t="shared" ca="1" si="46"/>
        <v>0</v>
      </c>
      <c r="C567">
        <f t="shared" ca="1" si="47"/>
        <v>0</v>
      </c>
      <c r="D567" t="s">
        <v>221</v>
      </c>
      <c r="E567" t="s">
        <v>58</v>
      </c>
      <c r="F567">
        <v>1283</v>
      </c>
      <c r="G567" t="s">
        <v>213</v>
      </c>
      <c r="H567" t="s">
        <v>222</v>
      </c>
      <c r="I567" t="s">
        <v>187</v>
      </c>
      <c r="J567" t="s">
        <v>221</v>
      </c>
      <c r="K567" t="s">
        <v>215</v>
      </c>
      <c r="L567" t="s">
        <v>1275</v>
      </c>
      <c r="M567">
        <v>6000</v>
      </c>
      <c r="N567">
        <v>188</v>
      </c>
      <c r="O567">
        <v>5052240</v>
      </c>
      <c r="P567">
        <v>153</v>
      </c>
      <c r="Q567" t="s">
        <v>98</v>
      </c>
      <c r="R567">
        <v>2089.4499999999998</v>
      </c>
      <c r="S567">
        <v>2089.4499999999998</v>
      </c>
      <c r="T567">
        <v>0</v>
      </c>
      <c r="U567" t="s">
        <v>34</v>
      </c>
      <c r="V567" s="1">
        <v>46132</v>
      </c>
      <c r="W567" s="1">
        <v>46155</v>
      </c>
    </row>
    <row r="568" spans="1:26" x14ac:dyDescent="0.25">
      <c r="A568">
        <f t="shared" ca="1" si="46"/>
        <v>0</v>
      </c>
      <c r="C568">
        <f t="shared" ca="1" si="47"/>
        <v>0</v>
      </c>
      <c r="D568" t="s">
        <v>183</v>
      </c>
      <c r="E568" t="s">
        <v>58</v>
      </c>
      <c r="F568">
        <v>428</v>
      </c>
      <c r="G568" t="s">
        <v>602</v>
      </c>
      <c r="H568" t="s">
        <v>1276</v>
      </c>
      <c r="I568" t="s">
        <v>187</v>
      </c>
      <c r="J568" t="s">
        <v>183</v>
      </c>
      <c r="K568" t="s">
        <v>61</v>
      </c>
      <c r="L568" t="s">
        <v>1277</v>
      </c>
      <c r="M568">
        <v>6000</v>
      </c>
      <c r="N568">
        <v>184</v>
      </c>
      <c r="O568">
        <v>5052431</v>
      </c>
      <c r="P568">
        <v>17125</v>
      </c>
      <c r="Q568" t="s">
        <v>721</v>
      </c>
      <c r="R568">
        <v>1600.5</v>
      </c>
      <c r="S568">
        <v>1600.5</v>
      </c>
      <c r="T568">
        <v>0</v>
      </c>
      <c r="U568" t="s">
        <v>34</v>
      </c>
      <c r="V568" s="1">
        <v>46162</v>
      </c>
      <c r="W568" s="1">
        <v>46163</v>
      </c>
    </row>
    <row r="569" spans="1:26" x14ac:dyDescent="0.25">
      <c r="A569">
        <f t="shared" ca="1" si="46"/>
        <v>0</v>
      </c>
      <c r="C569">
        <f t="shared" ca="1" si="47"/>
        <v>0</v>
      </c>
      <c r="D569" t="s">
        <v>57</v>
      </c>
      <c r="E569" t="s">
        <v>64</v>
      </c>
      <c r="F569">
        <v>1980</v>
      </c>
      <c r="G569" t="s">
        <v>747</v>
      </c>
      <c r="H569" t="s">
        <v>1278</v>
      </c>
      <c r="I569" t="s">
        <v>44</v>
      </c>
      <c r="J569" t="s">
        <v>57</v>
      </c>
      <c r="K569" t="s">
        <v>67</v>
      </c>
      <c r="L569" t="s">
        <v>1279</v>
      </c>
      <c r="M569">
        <v>20000</v>
      </c>
      <c r="N569">
        <v>134</v>
      </c>
      <c r="O569">
        <v>5055826</v>
      </c>
      <c r="P569">
        <v>29</v>
      </c>
      <c r="Q569" t="s">
        <v>933</v>
      </c>
      <c r="R569">
        <v>21892.240000000002</v>
      </c>
      <c r="S569">
        <v>21892.240000000002</v>
      </c>
      <c r="T569">
        <v>0</v>
      </c>
      <c r="U569" t="s">
        <v>34</v>
      </c>
      <c r="V569" s="1">
        <v>46160</v>
      </c>
      <c r="W569" s="1">
        <v>46178</v>
      </c>
    </row>
    <row r="570" spans="1:26" x14ac:dyDescent="0.25">
      <c r="A570">
        <f t="shared" ca="1" si="46"/>
        <v>0</v>
      </c>
      <c r="C570">
        <f t="shared" ca="1" si="47"/>
        <v>0</v>
      </c>
      <c r="D570" t="s">
        <v>57</v>
      </c>
      <c r="E570" t="s">
        <v>58</v>
      </c>
      <c r="F570">
        <v>1355</v>
      </c>
      <c r="G570" t="s">
        <v>213</v>
      </c>
      <c r="H570" t="s">
        <v>1280</v>
      </c>
      <c r="I570" t="s">
        <v>44</v>
      </c>
      <c r="J570" t="s">
        <v>57</v>
      </c>
      <c r="K570" t="s">
        <v>215</v>
      </c>
      <c r="L570" t="s">
        <v>1281</v>
      </c>
      <c r="M570">
        <v>4500</v>
      </c>
      <c r="N570">
        <v>219</v>
      </c>
      <c r="O570">
        <v>5056103</v>
      </c>
      <c r="P570">
        <v>4921</v>
      </c>
      <c r="Q570" t="s">
        <v>94</v>
      </c>
      <c r="R570">
        <v>1763.15</v>
      </c>
      <c r="T570">
        <v>1763.15</v>
      </c>
    </row>
    <row r="571" spans="1:26" x14ac:dyDescent="0.25">
      <c r="A571">
        <f t="shared" ca="1" si="46"/>
        <v>0</v>
      </c>
      <c r="C571">
        <f t="shared" ca="1" si="47"/>
        <v>0</v>
      </c>
      <c r="D571" t="s">
        <v>35</v>
      </c>
      <c r="E571" t="s">
        <v>900</v>
      </c>
      <c r="F571">
        <v>1197</v>
      </c>
      <c r="G571" t="s">
        <v>1282</v>
      </c>
      <c r="H571" t="s">
        <v>1283</v>
      </c>
      <c r="I571" t="s">
        <v>30</v>
      </c>
      <c r="J571" t="s">
        <v>35</v>
      </c>
      <c r="K571" t="s">
        <v>326</v>
      </c>
      <c r="L571" t="s">
        <v>1284</v>
      </c>
      <c r="M571">
        <v>5000</v>
      </c>
      <c r="N571">
        <v>292</v>
      </c>
      <c r="O571">
        <v>5058313</v>
      </c>
      <c r="P571">
        <v>1868</v>
      </c>
      <c r="Q571" t="s">
        <v>706</v>
      </c>
      <c r="R571">
        <v>10857</v>
      </c>
      <c r="S571">
        <v>10857</v>
      </c>
      <c r="T571">
        <v>0</v>
      </c>
      <c r="U571" t="s">
        <v>34</v>
      </c>
      <c r="V571" s="1">
        <v>46160</v>
      </c>
      <c r="W571" s="1">
        <v>46171</v>
      </c>
    </row>
    <row r="572" spans="1:26" x14ac:dyDescent="0.25">
      <c r="A572">
        <f t="shared" ca="1" si="46"/>
        <v>0</v>
      </c>
      <c r="C572">
        <f t="shared" ca="1" si="47"/>
        <v>0</v>
      </c>
      <c r="D572" t="s">
        <v>57</v>
      </c>
      <c r="E572" t="s">
        <v>237</v>
      </c>
      <c r="F572">
        <v>1013</v>
      </c>
      <c r="G572" t="s">
        <v>884</v>
      </c>
      <c r="H572" t="s">
        <v>1285</v>
      </c>
      <c r="I572" t="s">
        <v>44</v>
      </c>
      <c r="J572" t="s">
        <v>57</v>
      </c>
      <c r="K572" t="s">
        <v>240</v>
      </c>
      <c r="L572" t="s">
        <v>1286</v>
      </c>
      <c r="M572">
        <v>15500</v>
      </c>
      <c r="N572">
        <v>49</v>
      </c>
      <c r="O572">
        <v>5058853</v>
      </c>
      <c r="P572">
        <v>29</v>
      </c>
      <c r="Q572" t="s">
        <v>933</v>
      </c>
      <c r="U572" t="s">
        <v>34</v>
      </c>
    </row>
    <row r="573" spans="1:26" x14ac:dyDescent="0.25">
      <c r="A573">
        <f t="shared" ca="1" si="46"/>
        <v>0</v>
      </c>
      <c r="C573">
        <f t="shared" ca="1" si="47"/>
        <v>0</v>
      </c>
      <c r="D573" t="s">
        <v>74</v>
      </c>
      <c r="E573" t="s">
        <v>27</v>
      </c>
      <c r="F573">
        <v>2088</v>
      </c>
      <c r="G573" t="s">
        <v>42</v>
      </c>
      <c r="H573" t="s">
        <v>1287</v>
      </c>
      <c r="I573" t="s">
        <v>30</v>
      </c>
      <c r="J573" t="s">
        <v>74</v>
      </c>
      <c r="K573" t="s">
        <v>31</v>
      </c>
      <c r="L573" t="s">
        <v>1288</v>
      </c>
      <c r="M573">
        <v>5000</v>
      </c>
      <c r="N573">
        <v>402</v>
      </c>
      <c r="O573">
        <v>5059519</v>
      </c>
      <c r="P573">
        <v>4921</v>
      </c>
      <c r="Q573" t="s">
        <v>94</v>
      </c>
      <c r="R573">
        <v>10620.29</v>
      </c>
      <c r="T573">
        <v>10620.29</v>
      </c>
      <c r="U573" t="s">
        <v>40</v>
      </c>
      <c r="V573" s="1">
        <v>46143</v>
      </c>
      <c r="W573" s="1">
        <v>46174</v>
      </c>
      <c r="Y573" t="s">
        <v>104</v>
      </c>
      <c r="Z573" s="1">
        <v>46238</v>
      </c>
    </row>
    <row r="574" spans="1:26" x14ac:dyDescent="0.25">
      <c r="A574">
        <f t="shared" ca="1" si="46"/>
        <v>0</v>
      </c>
      <c r="C574">
        <f t="shared" ca="1" si="47"/>
        <v>0</v>
      </c>
      <c r="D574" t="s">
        <v>355</v>
      </c>
      <c r="E574" t="s">
        <v>237</v>
      </c>
      <c r="F574">
        <v>16</v>
      </c>
      <c r="G574" t="s">
        <v>584</v>
      </c>
      <c r="H574" t="s">
        <v>1289</v>
      </c>
      <c r="I574" t="s">
        <v>30</v>
      </c>
      <c r="J574" t="s">
        <v>355</v>
      </c>
      <c r="K574" t="s">
        <v>240</v>
      </c>
      <c r="L574" t="s">
        <v>1290</v>
      </c>
      <c r="M574">
        <v>5000</v>
      </c>
      <c r="N574">
        <v>64</v>
      </c>
      <c r="O574">
        <v>5062929</v>
      </c>
      <c r="P574">
        <v>3238</v>
      </c>
      <c r="Q574" t="s">
        <v>1291</v>
      </c>
      <c r="R574">
        <v>1596.1</v>
      </c>
      <c r="S574">
        <v>1596.1</v>
      </c>
      <c r="T574">
        <v>0</v>
      </c>
      <c r="U574" t="s">
        <v>34</v>
      </c>
    </row>
    <row r="575" spans="1:26" x14ac:dyDescent="0.25">
      <c r="A575">
        <f t="shared" ca="1" si="46"/>
        <v>0</v>
      </c>
      <c r="C575">
        <f t="shared" ca="1" si="47"/>
        <v>0</v>
      </c>
      <c r="D575" t="s">
        <v>355</v>
      </c>
      <c r="E575" t="s">
        <v>237</v>
      </c>
      <c r="F575">
        <v>84</v>
      </c>
      <c r="G575" t="s">
        <v>580</v>
      </c>
      <c r="H575" t="s">
        <v>1292</v>
      </c>
      <c r="I575" t="s">
        <v>30</v>
      </c>
      <c r="J575" t="s">
        <v>355</v>
      </c>
      <c r="K575" t="s">
        <v>240</v>
      </c>
      <c r="L575" t="s">
        <v>1293</v>
      </c>
      <c r="M575">
        <v>15000</v>
      </c>
      <c r="N575">
        <v>76</v>
      </c>
      <c r="O575">
        <v>5062939</v>
      </c>
      <c r="P575">
        <v>7111</v>
      </c>
      <c r="Q575" t="s">
        <v>754</v>
      </c>
      <c r="R575">
        <v>1099.2</v>
      </c>
      <c r="S575">
        <v>1099.2</v>
      </c>
      <c r="T575">
        <v>0</v>
      </c>
      <c r="U575" t="s">
        <v>34</v>
      </c>
    </row>
    <row r="576" spans="1:26" x14ac:dyDescent="0.25">
      <c r="A576">
        <f t="shared" ca="1" si="46"/>
        <v>0</v>
      </c>
      <c r="C576">
        <f t="shared" ca="1" si="47"/>
        <v>0</v>
      </c>
      <c r="D576" t="s">
        <v>95</v>
      </c>
      <c r="E576" t="s">
        <v>49</v>
      </c>
      <c r="F576">
        <v>1803</v>
      </c>
      <c r="G576" t="s">
        <v>689</v>
      </c>
      <c r="H576" t="s">
        <v>988</v>
      </c>
      <c r="I576" t="s">
        <v>30</v>
      </c>
      <c r="J576" t="s">
        <v>95</v>
      </c>
      <c r="K576" t="s">
        <v>52</v>
      </c>
      <c r="L576" t="s">
        <v>1294</v>
      </c>
      <c r="M576">
        <v>10000</v>
      </c>
      <c r="N576">
        <v>708</v>
      </c>
      <c r="O576">
        <v>5066800</v>
      </c>
      <c r="P576">
        <v>24265</v>
      </c>
      <c r="Q576" t="s">
        <v>328</v>
      </c>
      <c r="R576">
        <v>1632.5</v>
      </c>
      <c r="S576">
        <v>1632.5</v>
      </c>
      <c r="T576">
        <v>0</v>
      </c>
      <c r="U576" t="s">
        <v>34</v>
      </c>
      <c r="V576" s="1">
        <v>46216</v>
      </c>
      <c r="W576" s="1">
        <v>46216</v>
      </c>
    </row>
    <row r="577" spans="1:26" x14ac:dyDescent="0.25">
      <c r="A577">
        <f t="shared" ca="1" si="46"/>
        <v>0</v>
      </c>
      <c r="C577">
        <f t="shared" ca="1" si="47"/>
        <v>0</v>
      </c>
      <c r="D577" t="s">
        <v>183</v>
      </c>
      <c r="E577" t="s">
        <v>58</v>
      </c>
      <c r="F577">
        <v>847</v>
      </c>
      <c r="G577" t="s">
        <v>224</v>
      </c>
      <c r="H577" t="s">
        <v>1295</v>
      </c>
      <c r="I577" t="s">
        <v>187</v>
      </c>
      <c r="J577" t="s">
        <v>183</v>
      </c>
      <c r="K577" t="s">
        <v>61</v>
      </c>
      <c r="L577" t="s">
        <v>1296</v>
      </c>
      <c r="M577">
        <v>5000</v>
      </c>
      <c r="N577">
        <v>185</v>
      </c>
      <c r="O577">
        <v>5006606</v>
      </c>
      <c r="P577">
        <v>8598</v>
      </c>
      <c r="Q577" t="s">
        <v>78</v>
      </c>
      <c r="R577">
        <v>0</v>
      </c>
      <c r="U577" t="s">
        <v>40</v>
      </c>
      <c r="V577" s="1">
        <v>46174</v>
      </c>
      <c r="W577" s="1">
        <v>46203</v>
      </c>
      <c r="Y577" t="s">
        <v>104</v>
      </c>
      <c r="Z577" s="1">
        <v>46121</v>
      </c>
    </row>
    <row r="578" spans="1:26" x14ac:dyDescent="0.25">
      <c r="A578">
        <f t="shared" ca="1" si="46"/>
        <v>0</v>
      </c>
      <c r="C578">
        <f t="shared" ca="1" si="47"/>
        <v>0</v>
      </c>
      <c r="D578" t="s">
        <v>183</v>
      </c>
      <c r="E578" t="s">
        <v>58</v>
      </c>
      <c r="F578">
        <v>182</v>
      </c>
      <c r="G578" t="s">
        <v>224</v>
      </c>
      <c r="H578" t="s">
        <v>1297</v>
      </c>
      <c r="I578" t="s">
        <v>187</v>
      </c>
      <c r="J578" t="s">
        <v>183</v>
      </c>
      <c r="K578" t="s">
        <v>61</v>
      </c>
      <c r="L578" t="s">
        <v>1298</v>
      </c>
      <c r="O578">
        <v>5016795</v>
      </c>
      <c r="P578">
        <v>39</v>
      </c>
      <c r="Q578" t="s">
        <v>779</v>
      </c>
      <c r="R578">
        <v>4288.8999999999996</v>
      </c>
      <c r="S578">
        <v>4288.8999999999996</v>
      </c>
      <c r="T578">
        <v>0</v>
      </c>
      <c r="U578" t="s">
        <v>34</v>
      </c>
      <c r="X578" t="s">
        <v>1299</v>
      </c>
    </row>
    <row r="579" spans="1:26" x14ac:dyDescent="0.25">
      <c r="A579">
        <f t="shared" ca="1" si="46"/>
        <v>0</v>
      </c>
      <c r="C579">
        <f t="shared" ca="1" si="47"/>
        <v>0</v>
      </c>
      <c r="D579" t="s">
        <v>48</v>
      </c>
      <c r="E579" t="s">
        <v>58</v>
      </c>
      <c r="F579">
        <v>700</v>
      </c>
      <c r="G579" t="s">
        <v>224</v>
      </c>
      <c r="H579" t="s">
        <v>1300</v>
      </c>
      <c r="I579" t="s">
        <v>30</v>
      </c>
      <c r="J579" t="s">
        <v>48</v>
      </c>
      <c r="K579" t="s">
        <v>61</v>
      </c>
      <c r="L579" t="s">
        <v>1301</v>
      </c>
      <c r="O579">
        <v>5016839</v>
      </c>
      <c r="P579">
        <v>4551</v>
      </c>
      <c r="Q579" t="s">
        <v>461</v>
      </c>
      <c r="R579">
        <v>2321.65</v>
      </c>
      <c r="S579">
        <v>2321.65</v>
      </c>
      <c r="T579">
        <v>0</v>
      </c>
      <c r="U579" t="s">
        <v>34</v>
      </c>
      <c r="X579" t="s">
        <v>1302</v>
      </c>
    </row>
    <row r="580" spans="1:26" x14ac:dyDescent="0.25">
      <c r="A580">
        <f t="shared" ca="1" si="46"/>
        <v>0</v>
      </c>
      <c r="C580">
        <f t="shared" ca="1" si="47"/>
        <v>0</v>
      </c>
      <c r="D580" t="s">
        <v>26</v>
      </c>
      <c r="E580" t="s">
        <v>58</v>
      </c>
      <c r="F580">
        <v>574</v>
      </c>
      <c r="G580" t="s">
        <v>224</v>
      </c>
      <c r="H580" t="s">
        <v>1303</v>
      </c>
      <c r="I580" t="s">
        <v>30</v>
      </c>
      <c r="J580" t="s">
        <v>26</v>
      </c>
      <c r="K580" t="s">
        <v>61</v>
      </c>
      <c r="L580" t="s">
        <v>1304</v>
      </c>
      <c r="O580">
        <v>5016847</v>
      </c>
      <c r="P580">
        <v>1283</v>
      </c>
      <c r="Q580" t="s">
        <v>1305</v>
      </c>
    </row>
    <row r="581" spans="1:26" x14ac:dyDescent="0.25">
      <c r="A581">
        <f t="shared" ca="1" si="46"/>
        <v>0</v>
      </c>
      <c r="C581">
        <f t="shared" ca="1" si="47"/>
        <v>0</v>
      </c>
      <c r="D581" t="s">
        <v>26</v>
      </c>
      <c r="E581" t="s">
        <v>58</v>
      </c>
      <c r="F581">
        <v>574</v>
      </c>
      <c r="G581" t="s">
        <v>224</v>
      </c>
      <c r="H581" t="s">
        <v>1303</v>
      </c>
      <c r="I581" t="s">
        <v>30</v>
      </c>
      <c r="J581" t="s">
        <v>26</v>
      </c>
      <c r="K581" t="s">
        <v>61</v>
      </c>
      <c r="L581" t="s">
        <v>1304</v>
      </c>
      <c r="O581">
        <v>5016851</v>
      </c>
      <c r="P581">
        <v>1283</v>
      </c>
      <c r="Q581" t="s">
        <v>1305</v>
      </c>
      <c r="R581">
        <v>2421.21</v>
      </c>
      <c r="S581">
        <v>2421.21</v>
      </c>
      <c r="T581">
        <v>0</v>
      </c>
      <c r="U581" t="s">
        <v>34</v>
      </c>
      <c r="X581" t="s">
        <v>1302</v>
      </c>
    </row>
    <row r="582" spans="1:26" x14ac:dyDescent="0.25">
      <c r="A582">
        <f t="shared" ca="1" si="46"/>
        <v>0</v>
      </c>
      <c r="C582">
        <f t="shared" ca="1" si="47"/>
        <v>0</v>
      </c>
      <c r="D582" t="s">
        <v>285</v>
      </c>
      <c r="E582" t="s">
        <v>58</v>
      </c>
      <c r="F582">
        <v>1063</v>
      </c>
      <c r="G582" t="s">
        <v>602</v>
      </c>
      <c r="H582" t="s">
        <v>1306</v>
      </c>
      <c r="I582" t="s">
        <v>187</v>
      </c>
      <c r="J582" t="s">
        <v>285</v>
      </c>
      <c r="K582" t="s">
        <v>61</v>
      </c>
      <c r="L582" t="s">
        <v>1307</v>
      </c>
      <c r="O582">
        <v>5016970</v>
      </c>
      <c r="P582">
        <v>17125</v>
      </c>
      <c r="Q582" t="s">
        <v>721</v>
      </c>
      <c r="R582">
        <v>2351.1999999999998</v>
      </c>
      <c r="S582">
        <v>2351.1999999999998</v>
      </c>
      <c r="T582">
        <v>0</v>
      </c>
      <c r="U582" t="s">
        <v>34</v>
      </c>
    </row>
    <row r="583" spans="1:26" x14ac:dyDescent="0.25">
      <c r="A583">
        <f t="shared" ca="1" si="46"/>
        <v>0</v>
      </c>
      <c r="C583">
        <f t="shared" ca="1" si="47"/>
        <v>0</v>
      </c>
      <c r="D583" t="s">
        <v>35</v>
      </c>
      <c r="E583" t="s">
        <v>58</v>
      </c>
      <c r="F583">
        <v>2014</v>
      </c>
      <c r="G583" t="s">
        <v>602</v>
      </c>
      <c r="H583" t="s">
        <v>1308</v>
      </c>
      <c r="I583" t="s">
        <v>30</v>
      </c>
      <c r="J583" t="s">
        <v>35</v>
      </c>
      <c r="K583" t="s">
        <v>61</v>
      </c>
      <c r="L583" t="s">
        <v>1309</v>
      </c>
      <c r="O583">
        <v>5016993</v>
      </c>
      <c r="P583">
        <v>3864</v>
      </c>
      <c r="Q583" t="s">
        <v>1310</v>
      </c>
      <c r="R583">
        <v>3851.1</v>
      </c>
      <c r="S583">
        <v>3851.1</v>
      </c>
      <c r="T583">
        <v>0</v>
      </c>
      <c r="U583" t="s">
        <v>34</v>
      </c>
      <c r="V583" s="1">
        <v>46106</v>
      </c>
      <c r="W583" s="1">
        <v>46108</v>
      </c>
      <c r="X583" t="s">
        <v>1302</v>
      </c>
    </row>
    <row r="584" spans="1:26" x14ac:dyDescent="0.25">
      <c r="A584">
        <f t="shared" ca="1" si="46"/>
        <v>0</v>
      </c>
      <c r="C584">
        <f t="shared" ca="1" si="47"/>
        <v>0</v>
      </c>
      <c r="D584" t="s">
        <v>183</v>
      </c>
      <c r="E584" t="s">
        <v>58</v>
      </c>
      <c r="F584">
        <v>352</v>
      </c>
      <c r="G584" t="s">
        <v>293</v>
      </c>
      <c r="H584" t="s">
        <v>1311</v>
      </c>
      <c r="I584" t="s">
        <v>187</v>
      </c>
      <c r="J584" t="s">
        <v>183</v>
      </c>
      <c r="K584" t="s">
        <v>61</v>
      </c>
      <c r="L584" t="s">
        <v>1312</v>
      </c>
      <c r="O584">
        <v>5017028</v>
      </c>
      <c r="P584">
        <v>15962</v>
      </c>
      <c r="Q584" t="s">
        <v>1313</v>
      </c>
      <c r="R584">
        <v>1595.58</v>
      </c>
      <c r="S584">
        <v>1595.58</v>
      </c>
      <c r="T584">
        <v>0</v>
      </c>
      <c r="U584" t="s">
        <v>34</v>
      </c>
    </row>
    <row r="585" spans="1:26" x14ac:dyDescent="0.25">
      <c r="A585">
        <f t="shared" ca="1" si="46"/>
        <v>0</v>
      </c>
      <c r="C585">
        <f t="shared" ca="1" si="47"/>
        <v>0</v>
      </c>
      <c r="D585" t="s">
        <v>35</v>
      </c>
      <c r="E585" t="s">
        <v>237</v>
      </c>
      <c r="F585">
        <v>1013</v>
      </c>
      <c r="G585" t="s">
        <v>884</v>
      </c>
      <c r="H585" t="s">
        <v>1314</v>
      </c>
      <c r="I585" t="s">
        <v>30</v>
      </c>
      <c r="J585" t="s">
        <v>35</v>
      </c>
      <c r="K585" t="s">
        <v>240</v>
      </c>
      <c r="L585" t="s">
        <v>1315</v>
      </c>
      <c r="O585">
        <v>5033879</v>
      </c>
      <c r="P585">
        <v>911</v>
      </c>
      <c r="Q585" t="s">
        <v>621</v>
      </c>
      <c r="R585">
        <v>1684.14</v>
      </c>
      <c r="S585">
        <v>1684.14</v>
      </c>
      <c r="T585">
        <v>0</v>
      </c>
      <c r="U585" t="s">
        <v>34</v>
      </c>
    </row>
    <row r="586" spans="1:26" x14ac:dyDescent="0.25">
      <c r="A586">
        <f t="shared" ca="1" si="46"/>
        <v>0</v>
      </c>
      <c r="C586">
        <f t="shared" ca="1" si="47"/>
        <v>0</v>
      </c>
      <c r="D586" t="s">
        <v>26</v>
      </c>
      <c r="E586" t="s">
        <v>237</v>
      </c>
      <c r="F586">
        <v>724</v>
      </c>
      <c r="G586" t="s">
        <v>618</v>
      </c>
      <c r="H586" t="s">
        <v>1316</v>
      </c>
      <c r="I586" t="s">
        <v>30</v>
      </c>
      <c r="J586" t="s">
        <v>26</v>
      </c>
      <c r="K586" t="s">
        <v>240</v>
      </c>
      <c r="L586" t="s">
        <v>1317</v>
      </c>
      <c r="O586">
        <v>5034141</v>
      </c>
      <c r="P586">
        <v>81</v>
      </c>
      <c r="Q586" t="s">
        <v>102</v>
      </c>
      <c r="R586">
        <v>0</v>
      </c>
      <c r="T586">
        <v>0</v>
      </c>
    </row>
    <row r="587" spans="1:26" x14ac:dyDescent="0.25">
      <c r="A587">
        <f t="shared" ca="1" si="46"/>
        <v>0</v>
      </c>
      <c r="C587">
        <f t="shared" ca="1" si="47"/>
        <v>0</v>
      </c>
      <c r="D587" t="s">
        <v>79</v>
      </c>
      <c r="E587" t="s">
        <v>237</v>
      </c>
      <c r="F587">
        <v>1273</v>
      </c>
      <c r="G587" t="s">
        <v>258</v>
      </c>
      <c r="H587" t="s">
        <v>1318</v>
      </c>
      <c r="I587" t="s">
        <v>30</v>
      </c>
      <c r="J587" t="s">
        <v>79</v>
      </c>
      <c r="K587" t="s">
        <v>240</v>
      </c>
      <c r="L587" t="s">
        <v>1319</v>
      </c>
      <c r="M587">
        <v>15000</v>
      </c>
      <c r="N587">
        <v>77</v>
      </c>
      <c r="O587">
        <v>5034180</v>
      </c>
      <c r="P587">
        <v>7669</v>
      </c>
      <c r="Q587" t="s">
        <v>261</v>
      </c>
      <c r="R587">
        <v>923.72</v>
      </c>
      <c r="T587">
        <v>923.72</v>
      </c>
    </row>
    <row r="588" spans="1:26" x14ac:dyDescent="0.25">
      <c r="A588">
        <f t="shared" ca="1" si="46"/>
        <v>0</v>
      </c>
      <c r="C588">
        <f t="shared" ca="1" si="47"/>
        <v>0</v>
      </c>
      <c r="D588" t="s">
        <v>79</v>
      </c>
      <c r="E588" t="s">
        <v>237</v>
      </c>
      <c r="F588">
        <v>1273</v>
      </c>
      <c r="G588" t="s">
        <v>258</v>
      </c>
      <c r="H588" t="s">
        <v>1320</v>
      </c>
      <c r="I588" t="s">
        <v>30</v>
      </c>
      <c r="J588" t="s">
        <v>79</v>
      </c>
      <c r="K588" t="s">
        <v>240</v>
      </c>
      <c r="L588" t="s">
        <v>1319</v>
      </c>
      <c r="M588">
        <v>15000</v>
      </c>
      <c r="N588">
        <v>77</v>
      </c>
      <c r="O588">
        <v>5034186</v>
      </c>
      <c r="P588">
        <v>7669</v>
      </c>
      <c r="Q588" t="s">
        <v>261</v>
      </c>
      <c r="R588">
        <v>994.18</v>
      </c>
      <c r="T588">
        <v>994.18</v>
      </c>
    </row>
    <row r="589" spans="1:26" x14ac:dyDescent="0.25">
      <c r="A589">
        <f t="shared" ca="1" si="46"/>
        <v>0</v>
      </c>
      <c r="C589">
        <f t="shared" ca="1" si="47"/>
        <v>0</v>
      </c>
      <c r="D589" t="s">
        <v>57</v>
      </c>
      <c r="E589" t="s">
        <v>64</v>
      </c>
      <c r="F589">
        <v>287</v>
      </c>
      <c r="G589" t="s">
        <v>319</v>
      </c>
      <c r="H589" t="s">
        <v>1321</v>
      </c>
      <c r="I589" t="s">
        <v>44</v>
      </c>
      <c r="J589" t="s">
        <v>57</v>
      </c>
      <c r="K589" t="s">
        <v>67</v>
      </c>
      <c r="L589" t="s">
        <v>1322</v>
      </c>
      <c r="M589">
        <v>7000</v>
      </c>
      <c r="N589">
        <v>124</v>
      </c>
      <c r="O589">
        <v>5027025</v>
      </c>
      <c r="P589">
        <v>29</v>
      </c>
      <c r="Q589" t="s">
        <v>933</v>
      </c>
      <c r="R589">
        <v>6397.16</v>
      </c>
      <c r="S589">
        <v>6397.16</v>
      </c>
      <c r="T589">
        <v>0</v>
      </c>
      <c r="U589" t="s">
        <v>34</v>
      </c>
      <c r="V589" s="1">
        <v>46076</v>
      </c>
      <c r="W589" s="1">
        <v>46084</v>
      </c>
      <c r="X589" t="s">
        <v>1323</v>
      </c>
    </row>
    <row r="590" spans="1:26" x14ac:dyDescent="0.25">
      <c r="A590">
        <f t="shared" ca="1" si="46"/>
        <v>0</v>
      </c>
      <c r="C590">
        <f t="shared" ca="1" si="47"/>
        <v>0</v>
      </c>
      <c r="D590" t="s">
        <v>41</v>
      </c>
      <c r="E590" t="s">
        <v>64</v>
      </c>
      <c r="F590">
        <v>2028</v>
      </c>
      <c r="G590" t="s">
        <v>319</v>
      </c>
      <c r="H590" t="s">
        <v>1324</v>
      </c>
      <c r="I590" t="s">
        <v>44</v>
      </c>
      <c r="J590" t="s">
        <v>41</v>
      </c>
      <c r="K590" t="s">
        <v>67</v>
      </c>
      <c r="L590" t="s">
        <v>1325</v>
      </c>
      <c r="M590">
        <v>10000</v>
      </c>
      <c r="N590">
        <v>125</v>
      </c>
      <c r="O590">
        <v>5062763</v>
      </c>
      <c r="P590">
        <v>4921</v>
      </c>
      <c r="Q590" t="s">
        <v>94</v>
      </c>
      <c r="R590">
        <v>1868.31</v>
      </c>
      <c r="T590">
        <v>1868.31</v>
      </c>
      <c r="U590" t="s">
        <v>40</v>
      </c>
      <c r="V590" s="1">
        <v>46154</v>
      </c>
      <c r="W590" s="1">
        <v>46161</v>
      </c>
    </row>
    <row r="591" spans="1:26" x14ac:dyDescent="0.25">
      <c r="A591">
        <f t="shared" ca="1" si="46"/>
        <v>0</v>
      </c>
      <c r="C591">
        <f t="shared" ca="1" si="47"/>
        <v>0</v>
      </c>
      <c r="D591" t="s">
        <v>285</v>
      </c>
      <c r="E591" t="s">
        <v>58</v>
      </c>
      <c r="F591">
        <v>54</v>
      </c>
      <c r="G591" t="s">
        <v>1038</v>
      </c>
      <c r="H591" t="s">
        <v>1326</v>
      </c>
      <c r="I591" t="s">
        <v>187</v>
      </c>
      <c r="J591" t="s">
        <v>285</v>
      </c>
      <c r="K591" t="s">
        <v>61</v>
      </c>
      <c r="L591" t="s">
        <v>1327</v>
      </c>
      <c r="P591">
        <v>1971</v>
      </c>
      <c r="Q591" t="s">
        <v>429</v>
      </c>
      <c r="R591">
        <v>3300</v>
      </c>
      <c r="S591">
        <v>3300</v>
      </c>
      <c r="T591">
        <v>0</v>
      </c>
      <c r="U591" t="s">
        <v>34</v>
      </c>
    </row>
    <row r="592" spans="1:26" x14ac:dyDescent="0.25">
      <c r="A592">
        <f t="shared" ca="1" si="46"/>
        <v>0</v>
      </c>
      <c r="C592">
        <f t="shared" ca="1" si="47"/>
        <v>0</v>
      </c>
      <c r="D592" t="s">
        <v>236</v>
      </c>
      <c r="E592" t="s">
        <v>250</v>
      </c>
      <c r="F592">
        <v>1911</v>
      </c>
      <c r="G592" t="s">
        <v>996</v>
      </c>
      <c r="H592" t="s">
        <v>1003</v>
      </c>
      <c r="I592" t="s">
        <v>44</v>
      </c>
      <c r="J592" t="s">
        <v>236</v>
      </c>
      <c r="K592" t="s">
        <v>253</v>
      </c>
      <c r="L592" t="s">
        <v>1328</v>
      </c>
      <c r="M592">
        <v>11000</v>
      </c>
      <c r="N592">
        <v>717</v>
      </c>
      <c r="O592">
        <v>5083974</v>
      </c>
      <c r="P592">
        <v>6067</v>
      </c>
      <c r="Q592" t="s">
        <v>1005</v>
      </c>
      <c r="R592">
        <v>1613.7</v>
      </c>
      <c r="S592">
        <v>1613.7</v>
      </c>
      <c r="T592">
        <v>0</v>
      </c>
      <c r="U592" t="s">
        <v>34</v>
      </c>
    </row>
    <row r="593" spans="1:24" x14ac:dyDescent="0.25">
      <c r="A593">
        <f t="shared" ca="1" si="46"/>
        <v>0</v>
      </c>
      <c r="C593">
        <f t="shared" ca="1" si="47"/>
        <v>0</v>
      </c>
      <c r="D593" t="s">
        <v>35</v>
      </c>
      <c r="E593" t="s">
        <v>49</v>
      </c>
      <c r="F593">
        <v>1526</v>
      </c>
      <c r="G593" t="s">
        <v>726</v>
      </c>
      <c r="H593" t="s">
        <v>1329</v>
      </c>
      <c r="I593" t="s">
        <v>30</v>
      </c>
      <c r="J593" t="s">
        <v>35</v>
      </c>
      <c r="K593" t="s">
        <v>326</v>
      </c>
      <c r="L593" t="s">
        <v>1330</v>
      </c>
      <c r="M593">
        <v>5000</v>
      </c>
      <c r="N593">
        <v>638</v>
      </c>
      <c r="O593">
        <v>5018448</v>
      </c>
      <c r="P593">
        <v>6455</v>
      </c>
      <c r="Q593" t="s">
        <v>39</v>
      </c>
      <c r="R593">
        <v>2223.6</v>
      </c>
      <c r="T593">
        <v>2223.6</v>
      </c>
      <c r="U593" t="s">
        <v>40</v>
      </c>
      <c r="V593" s="1">
        <v>46069</v>
      </c>
      <c r="W593" s="1">
        <v>46101</v>
      </c>
    </row>
    <row r="594" spans="1:24" x14ac:dyDescent="0.25">
      <c r="A594">
        <f t="shared" ca="1" si="46"/>
        <v>0</v>
      </c>
      <c r="C594">
        <f t="shared" ca="1" si="47"/>
        <v>0</v>
      </c>
      <c r="D594" t="s">
        <v>35</v>
      </c>
      <c r="E594" t="s">
        <v>627</v>
      </c>
      <c r="F594">
        <v>631</v>
      </c>
      <c r="G594" t="s">
        <v>1120</v>
      </c>
      <c r="H594" t="s">
        <v>1331</v>
      </c>
      <c r="I594" t="s">
        <v>30</v>
      </c>
      <c r="J594" t="s">
        <v>35</v>
      </c>
      <c r="K594" t="s">
        <v>188</v>
      </c>
      <c r="L594" t="s">
        <v>1332</v>
      </c>
      <c r="O594">
        <v>5029360</v>
      </c>
      <c r="P594">
        <v>818</v>
      </c>
      <c r="Q594" t="s">
        <v>1238</v>
      </c>
      <c r="R594">
        <v>2530.33</v>
      </c>
      <c r="T594">
        <v>2530.33</v>
      </c>
    </row>
    <row r="595" spans="1:24" x14ac:dyDescent="0.25">
      <c r="A595">
        <f t="shared" ca="1" si="46"/>
        <v>0</v>
      </c>
      <c r="C595">
        <f t="shared" ca="1" si="47"/>
        <v>0</v>
      </c>
      <c r="D595" t="s">
        <v>35</v>
      </c>
      <c r="E595" t="s">
        <v>184</v>
      </c>
      <c r="F595">
        <v>917</v>
      </c>
      <c r="G595" t="s">
        <v>334</v>
      </c>
      <c r="H595" t="s">
        <v>351</v>
      </c>
      <c r="I595" t="s">
        <v>30</v>
      </c>
      <c r="J595" t="s">
        <v>35</v>
      </c>
      <c r="K595" t="s">
        <v>188</v>
      </c>
      <c r="L595" t="s">
        <v>1333</v>
      </c>
      <c r="M595">
        <v>30000</v>
      </c>
      <c r="N595">
        <v>461</v>
      </c>
      <c r="O595">
        <v>5061470</v>
      </c>
      <c r="P595">
        <v>6364</v>
      </c>
      <c r="Q595" t="s">
        <v>331</v>
      </c>
      <c r="R595">
        <v>4475.2</v>
      </c>
      <c r="S595">
        <v>4475.2</v>
      </c>
      <c r="T595">
        <v>0</v>
      </c>
      <c r="U595" t="s">
        <v>34</v>
      </c>
    </row>
    <row r="596" spans="1:24" x14ac:dyDescent="0.25">
      <c r="A596">
        <f t="shared" ca="1" si="46"/>
        <v>0</v>
      </c>
      <c r="C596">
        <f t="shared" ca="1" si="47"/>
        <v>0</v>
      </c>
      <c r="D596" t="s">
        <v>48</v>
      </c>
      <c r="E596" t="s">
        <v>445</v>
      </c>
      <c r="F596">
        <v>1474</v>
      </c>
      <c r="G596" t="s">
        <v>521</v>
      </c>
      <c r="H596" t="s">
        <v>1334</v>
      </c>
      <c r="I596" t="s">
        <v>30</v>
      </c>
      <c r="J596" t="s">
        <v>48</v>
      </c>
      <c r="K596" t="s">
        <v>448</v>
      </c>
      <c r="L596" t="s">
        <v>1335</v>
      </c>
      <c r="O596">
        <v>5071117</v>
      </c>
      <c r="P596">
        <v>8168</v>
      </c>
      <c r="Q596" t="s">
        <v>385</v>
      </c>
      <c r="R596">
        <v>2021.6</v>
      </c>
      <c r="T596">
        <v>2021.6</v>
      </c>
    </row>
    <row r="597" spans="1:24" x14ac:dyDescent="0.25">
      <c r="A597">
        <f t="shared" ca="1" si="46"/>
        <v>0</v>
      </c>
      <c r="C597">
        <f t="shared" ca="1" si="47"/>
        <v>0</v>
      </c>
      <c r="D597" t="s">
        <v>183</v>
      </c>
      <c r="E597" t="s">
        <v>900</v>
      </c>
      <c r="F597">
        <v>1215</v>
      </c>
      <c r="G597" t="s">
        <v>904</v>
      </c>
      <c r="H597" t="s">
        <v>1336</v>
      </c>
      <c r="I597" t="s">
        <v>187</v>
      </c>
      <c r="J597" t="s">
        <v>183</v>
      </c>
      <c r="K597" t="s">
        <v>326</v>
      </c>
      <c r="L597" t="s">
        <v>1337</v>
      </c>
      <c r="M597">
        <v>3000</v>
      </c>
      <c r="N597">
        <v>283</v>
      </c>
      <c r="X597" t="s">
        <v>40</v>
      </c>
    </row>
    <row r="598" spans="1:24" x14ac:dyDescent="0.25">
      <c r="A598">
        <f t="shared" ref="A598:A629" ca="1" si="48">+ Cmde</f>
        <v>0</v>
      </c>
      <c r="C598">
        <f t="shared" ref="C598:C629" ca="1" si="49">+ Devis</f>
        <v>0</v>
      </c>
      <c r="D598" t="s">
        <v>41</v>
      </c>
      <c r="E598" t="s">
        <v>445</v>
      </c>
      <c r="F598">
        <v>2423</v>
      </c>
      <c r="G598" t="s">
        <v>518</v>
      </c>
      <c r="H598" t="s">
        <v>1338</v>
      </c>
      <c r="I598" t="s">
        <v>44</v>
      </c>
      <c r="J598" t="s">
        <v>41</v>
      </c>
      <c r="K598" t="s">
        <v>448</v>
      </c>
      <c r="L598" t="s">
        <v>1339</v>
      </c>
      <c r="O598">
        <v>5093021</v>
      </c>
      <c r="P598">
        <v>5832</v>
      </c>
      <c r="Q598" t="s">
        <v>302</v>
      </c>
      <c r="R598">
        <v>1650</v>
      </c>
      <c r="S598">
        <v>1650</v>
      </c>
      <c r="T598">
        <v>0</v>
      </c>
      <c r="U598" t="s">
        <v>34</v>
      </c>
    </row>
    <row r="599" spans="1:24" x14ac:dyDescent="0.25">
      <c r="A599">
        <f t="shared" ca="1" si="48"/>
        <v>0</v>
      </c>
      <c r="C599">
        <f t="shared" ca="1" si="49"/>
        <v>0</v>
      </c>
      <c r="D599" t="s">
        <v>209</v>
      </c>
      <c r="E599" t="s">
        <v>64</v>
      </c>
      <c r="F599">
        <v>119</v>
      </c>
      <c r="G599" t="s">
        <v>755</v>
      </c>
      <c r="H599" t="s">
        <v>1340</v>
      </c>
      <c r="I599" t="s">
        <v>44</v>
      </c>
      <c r="J599" t="s">
        <v>209</v>
      </c>
      <c r="K599" t="s">
        <v>67</v>
      </c>
      <c r="L599" t="s">
        <v>131</v>
      </c>
      <c r="M599">
        <v>7500</v>
      </c>
      <c r="N599">
        <v>120</v>
      </c>
      <c r="O599">
        <v>5097883</v>
      </c>
      <c r="P599">
        <v>153</v>
      </c>
      <c r="Q599" t="s">
        <v>98</v>
      </c>
      <c r="R599">
        <v>575.77</v>
      </c>
      <c r="T599">
        <v>575.77</v>
      </c>
    </row>
    <row r="600" spans="1:24" x14ac:dyDescent="0.25">
      <c r="A600">
        <f t="shared" ca="1" si="48"/>
        <v>0</v>
      </c>
      <c r="C600">
        <f t="shared" ca="1" si="49"/>
        <v>0</v>
      </c>
      <c r="D600" t="s">
        <v>88</v>
      </c>
      <c r="E600" t="s">
        <v>58</v>
      </c>
      <c r="F600">
        <v>340</v>
      </c>
      <c r="G600" t="s">
        <v>426</v>
      </c>
      <c r="H600" t="s">
        <v>468</v>
      </c>
      <c r="I600" t="s">
        <v>30</v>
      </c>
      <c r="J600" t="s">
        <v>88</v>
      </c>
      <c r="K600" t="s">
        <v>61</v>
      </c>
      <c r="L600" t="s">
        <v>1341</v>
      </c>
      <c r="P600">
        <v>1499</v>
      </c>
      <c r="Q600" t="s">
        <v>470</v>
      </c>
      <c r="R600">
        <v>15969.63</v>
      </c>
      <c r="S600">
        <v>15969.63</v>
      </c>
      <c r="T600">
        <v>0</v>
      </c>
      <c r="U600" t="s">
        <v>34</v>
      </c>
    </row>
    <row r="601" spans="1:24" x14ac:dyDescent="0.25">
      <c r="A601">
        <f t="shared" ca="1" si="48"/>
        <v>0</v>
      </c>
      <c r="C601">
        <f t="shared" ca="1" si="49"/>
        <v>0</v>
      </c>
      <c r="D601" t="s">
        <v>35</v>
      </c>
      <c r="E601" t="s">
        <v>58</v>
      </c>
      <c r="F601">
        <v>23</v>
      </c>
      <c r="G601" t="s">
        <v>293</v>
      </c>
      <c r="H601" t="s">
        <v>1342</v>
      </c>
      <c r="I601" t="s">
        <v>30</v>
      </c>
      <c r="J601" t="s">
        <v>35</v>
      </c>
      <c r="K601" t="s">
        <v>61</v>
      </c>
      <c r="L601" t="s">
        <v>1343</v>
      </c>
      <c r="P601">
        <v>3864</v>
      </c>
      <c r="Q601" t="s">
        <v>1310</v>
      </c>
      <c r="R601">
        <v>2009.37</v>
      </c>
      <c r="S601">
        <v>2009.37</v>
      </c>
      <c r="T601">
        <v>0</v>
      </c>
      <c r="U601" t="s">
        <v>34</v>
      </c>
    </row>
    <row r="602" spans="1:24" x14ac:dyDescent="0.25">
      <c r="A602">
        <f t="shared" ca="1" si="48"/>
        <v>0</v>
      </c>
      <c r="C602">
        <f t="shared" ca="1" si="49"/>
        <v>0</v>
      </c>
      <c r="D602" t="s">
        <v>74</v>
      </c>
      <c r="E602" t="s">
        <v>64</v>
      </c>
      <c r="F602">
        <v>317</v>
      </c>
      <c r="G602" t="s">
        <v>311</v>
      </c>
      <c r="H602" t="s">
        <v>774</v>
      </c>
      <c r="I602" t="s">
        <v>30</v>
      </c>
      <c r="J602" t="s">
        <v>74</v>
      </c>
      <c r="K602" t="s">
        <v>67</v>
      </c>
      <c r="L602" t="s">
        <v>1344</v>
      </c>
      <c r="M602">
        <v>20000</v>
      </c>
      <c r="N602">
        <v>143</v>
      </c>
      <c r="O602">
        <v>5124493</v>
      </c>
      <c r="P602">
        <v>16262</v>
      </c>
      <c r="Q602" t="s">
        <v>697</v>
      </c>
      <c r="R602">
        <v>12272.08</v>
      </c>
      <c r="T602">
        <v>12272.08</v>
      </c>
    </row>
    <row r="603" spans="1:24" x14ac:dyDescent="0.25">
      <c r="A603">
        <f t="shared" ca="1" si="48"/>
        <v>0</v>
      </c>
      <c r="C603">
        <f t="shared" ca="1" si="49"/>
        <v>0</v>
      </c>
      <c r="D603" t="s">
        <v>196</v>
      </c>
      <c r="E603" t="s">
        <v>237</v>
      </c>
      <c r="F603">
        <v>101</v>
      </c>
      <c r="G603" t="s">
        <v>580</v>
      </c>
      <c r="H603" t="s">
        <v>1345</v>
      </c>
      <c r="I603" t="s">
        <v>187</v>
      </c>
      <c r="J603" t="s">
        <v>196</v>
      </c>
      <c r="K603" t="s">
        <v>240</v>
      </c>
      <c r="L603" t="s">
        <v>1346</v>
      </c>
      <c r="M603">
        <v>4000</v>
      </c>
      <c r="N603">
        <v>8</v>
      </c>
      <c r="O603">
        <v>5040078</v>
      </c>
      <c r="P603">
        <v>641</v>
      </c>
      <c r="Q603" t="s">
        <v>1347</v>
      </c>
      <c r="R603">
        <v>2145</v>
      </c>
      <c r="S603">
        <v>2145</v>
      </c>
      <c r="T603">
        <v>0</v>
      </c>
      <c r="U603" t="s">
        <v>34</v>
      </c>
    </row>
    <row r="604" spans="1:24" x14ac:dyDescent="0.25">
      <c r="A604">
        <f t="shared" ca="1" si="48"/>
        <v>0</v>
      </c>
      <c r="C604">
        <f t="shared" ca="1" si="49"/>
        <v>0</v>
      </c>
      <c r="D604" t="s">
        <v>221</v>
      </c>
      <c r="E604" t="s">
        <v>64</v>
      </c>
      <c r="F604">
        <v>339</v>
      </c>
      <c r="G604" t="s">
        <v>1217</v>
      </c>
      <c r="H604" t="s">
        <v>1348</v>
      </c>
      <c r="I604" t="s">
        <v>187</v>
      </c>
      <c r="J604" t="s">
        <v>221</v>
      </c>
      <c r="K604" t="s">
        <v>67</v>
      </c>
      <c r="L604" t="s">
        <v>1349</v>
      </c>
      <c r="M604">
        <v>5000</v>
      </c>
      <c r="N604">
        <v>104</v>
      </c>
      <c r="O604">
        <v>5085703</v>
      </c>
      <c r="P604">
        <v>1971</v>
      </c>
      <c r="Q604" t="s">
        <v>429</v>
      </c>
      <c r="R604">
        <v>3736.18</v>
      </c>
      <c r="T604">
        <v>3736.18</v>
      </c>
      <c r="U604" t="s">
        <v>107</v>
      </c>
      <c r="V604" s="1">
        <v>46310</v>
      </c>
      <c r="W604" s="1">
        <v>46315</v>
      </c>
      <c r="X604" t="s">
        <v>1350</v>
      </c>
    </row>
    <row r="605" spans="1:24" x14ac:dyDescent="0.25">
      <c r="A605">
        <f t="shared" ca="1" si="48"/>
        <v>0</v>
      </c>
      <c r="C605">
        <f t="shared" ca="1" si="49"/>
        <v>0</v>
      </c>
      <c r="D605" t="s">
        <v>196</v>
      </c>
      <c r="E605" t="s">
        <v>64</v>
      </c>
      <c r="F605">
        <v>199</v>
      </c>
      <c r="G605" t="s">
        <v>755</v>
      </c>
      <c r="H605" t="s">
        <v>1351</v>
      </c>
      <c r="I605" t="s">
        <v>187</v>
      </c>
      <c r="J605" t="s">
        <v>196</v>
      </c>
      <c r="K605" t="s">
        <v>67</v>
      </c>
      <c r="L605" t="s">
        <v>1352</v>
      </c>
      <c r="M605">
        <v>8000</v>
      </c>
      <c r="N605">
        <v>107</v>
      </c>
      <c r="O605">
        <v>5084749</v>
      </c>
      <c r="P605">
        <v>2391</v>
      </c>
      <c r="Q605" t="s">
        <v>314</v>
      </c>
      <c r="R605">
        <v>12927.08</v>
      </c>
      <c r="T605">
        <v>12927.08</v>
      </c>
      <c r="U605" t="s">
        <v>40</v>
      </c>
      <c r="V605" s="1">
        <v>46196</v>
      </c>
      <c r="W605" s="1">
        <v>46203</v>
      </c>
      <c r="X605" t="s">
        <v>1353</v>
      </c>
    </row>
    <row r="606" spans="1:24" x14ac:dyDescent="0.25">
      <c r="A606">
        <f t="shared" ca="1" si="48"/>
        <v>0</v>
      </c>
      <c r="C606">
        <f t="shared" ca="1" si="49"/>
        <v>0</v>
      </c>
      <c r="D606" t="s">
        <v>196</v>
      </c>
      <c r="E606" t="s">
        <v>627</v>
      </c>
      <c r="F606">
        <v>567</v>
      </c>
      <c r="G606" t="s">
        <v>1120</v>
      </c>
      <c r="H606" t="s">
        <v>1354</v>
      </c>
      <c r="I606" t="s">
        <v>187</v>
      </c>
      <c r="J606" t="s">
        <v>196</v>
      </c>
      <c r="K606" t="s">
        <v>188</v>
      </c>
      <c r="L606" t="s">
        <v>1355</v>
      </c>
      <c r="M606">
        <v>3000</v>
      </c>
      <c r="N606">
        <v>738</v>
      </c>
      <c r="O606">
        <v>5071654</v>
      </c>
      <c r="P606">
        <v>2002</v>
      </c>
      <c r="Q606" t="s">
        <v>631</v>
      </c>
      <c r="R606">
        <v>2860</v>
      </c>
      <c r="S606">
        <v>2860</v>
      </c>
      <c r="T606">
        <v>0</v>
      </c>
      <c r="U606" t="s">
        <v>34</v>
      </c>
    </row>
    <row r="607" spans="1:24" x14ac:dyDescent="0.25">
      <c r="A607">
        <f t="shared" ca="1" si="48"/>
        <v>0</v>
      </c>
      <c r="C607">
        <f t="shared" ca="1" si="49"/>
        <v>0</v>
      </c>
      <c r="D607" t="s">
        <v>236</v>
      </c>
      <c r="E607" t="s">
        <v>27</v>
      </c>
      <c r="F607">
        <v>300</v>
      </c>
      <c r="G607" t="s">
        <v>85</v>
      </c>
      <c r="H607" t="s">
        <v>1356</v>
      </c>
      <c r="I607" t="s">
        <v>44</v>
      </c>
      <c r="J607" t="s">
        <v>236</v>
      </c>
      <c r="K607" t="s">
        <v>31</v>
      </c>
      <c r="L607" t="s">
        <v>1357</v>
      </c>
      <c r="M607">
        <v>12000</v>
      </c>
      <c r="N607">
        <v>339</v>
      </c>
      <c r="O607">
        <v>5082019</v>
      </c>
      <c r="P607">
        <v>6632</v>
      </c>
      <c r="Q607" t="s">
        <v>1041</v>
      </c>
      <c r="R607">
        <v>10958.49</v>
      </c>
      <c r="S607">
        <v>10958.49</v>
      </c>
      <c r="T607">
        <v>0</v>
      </c>
      <c r="U607" t="s">
        <v>34</v>
      </c>
      <c r="V607" s="1">
        <v>46204</v>
      </c>
      <c r="W607" s="1">
        <v>46235</v>
      </c>
      <c r="X607" t="s">
        <v>1358</v>
      </c>
    </row>
    <row r="608" spans="1:24" x14ac:dyDescent="0.25">
      <c r="A608">
        <f t="shared" ca="1" si="48"/>
        <v>0</v>
      </c>
      <c r="C608">
        <f t="shared" ca="1" si="49"/>
        <v>0</v>
      </c>
      <c r="D608" t="s">
        <v>221</v>
      </c>
      <c r="E608" t="s">
        <v>64</v>
      </c>
      <c r="F608">
        <v>103</v>
      </c>
      <c r="G608" t="s">
        <v>588</v>
      </c>
      <c r="H608" t="s">
        <v>1359</v>
      </c>
      <c r="I608" t="s">
        <v>187</v>
      </c>
      <c r="J608" t="s">
        <v>221</v>
      </c>
      <c r="K608" t="s">
        <v>67</v>
      </c>
      <c r="L608" t="s">
        <v>1360</v>
      </c>
      <c r="O608">
        <v>5009746</v>
      </c>
      <c r="P608">
        <v>8302</v>
      </c>
      <c r="Q608" t="s">
        <v>1361</v>
      </c>
      <c r="R608">
        <v>1872.42</v>
      </c>
      <c r="S608">
        <v>1872.42</v>
      </c>
      <c r="U608" t="s">
        <v>34</v>
      </c>
      <c r="V608" s="1">
        <v>46048</v>
      </c>
      <c r="W608" s="1">
        <v>46048</v>
      </c>
    </row>
    <row r="609" spans="1:24" x14ac:dyDescent="0.25">
      <c r="A609">
        <f t="shared" ca="1" si="48"/>
        <v>0</v>
      </c>
      <c r="C609">
        <f t="shared" ca="1" si="49"/>
        <v>0</v>
      </c>
      <c r="D609" t="s">
        <v>26</v>
      </c>
      <c r="E609" t="s">
        <v>64</v>
      </c>
      <c r="F609">
        <v>103</v>
      </c>
      <c r="G609" t="s">
        <v>588</v>
      </c>
      <c r="H609" t="s">
        <v>1362</v>
      </c>
      <c r="I609" t="s">
        <v>30</v>
      </c>
      <c r="J609" t="s">
        <v>26</v>
      </c>
      <c r="K609" t="s">
        <v>67</v>
      </c>
      <c r="L609" t="s">
        <v>1363</v>
      </c>
      <c r="M609">
        <v>22000</v>
      </c>
      <c r="N609">
        <v>159</v>
      </c>
      <c r="O609">
        <v>4879451</v>
      </c>
      <c r="P609">
        <v>81</v>
      </c>
      <c r="Q609" t="s">
        <v>102</v>
      </c>
      <c r="R609">
        <v>1777.5</v>
      </c>
      <c r="S609">
        <v>1777.5</v>
      </c>
      <c r="T609">
        <v>0</v>
      </c>
      <c r="U609" t="s">
        <v>40</v>
      </c>
      <c r="V609" s="1">
        <v>46219</v>
      </c>
      <c r="W609" s="1">
        <v>46221</v>
      </c>
      <c r="X609" t="s">
        <v>1364</v>
      </c>
    </row>
    <row r="610" spans="1:24" x14ac:dyDescent="0.25">
      <c r="A610">
        <f t="shared" ca="1" si="48"/>
        <v>0</v>
      </c>
      <c r="C610">
        <f t="shared" ca="1" si="49"/>
        <v>0</v>
      </c>
      <c r="D610" t="s">
        <v>41</v>
      </c>
      <c r="E610" t="s">
        <v>900</v>
      </c>
      <c r="F610">
        <v>894</v>
      </c>
      <c r="G610" t="s">
        <v>901</v>
      </c>
      <c r="H610" t="s">
        <v>1365</v>
      </c>
      <c r="I610" t="s">
        <v>44</v>
      </c>
      <c r="J610" t="s">
        <v>41</v>
      </c>
      <c r="K610" t="s">
        <v>326</v>
      </c>
      <c r="L610" t="s">
        <v>1366</v>
      </c>
      <c r="M610">
        <v>10000</v>
      </c>
      <c r="N610">
        <v>284</v>
      </c>
      <c r="O610">
        <v>5076237</v>
      </c>
      <c r="P610">
        <v>8368</v>
      </c>
      <c r="Q610" t="s">
        <v>1367</v>
      </c>
      <c r="R610">
        <v>14996.96</v>
      </c>
      <c r="T610">
        <v>14996.96</v>
      </c>
      <c r="U610" t="s">
        <v>40</v>
      </c>
      <c r="V610" s="1">
        <v>46188</v>
      </c>
      <c r="W610" s="1">
        <v>46241</v>
      </c>
    </row>
    <row r="611" spans="1:24" x14ac:dyDescent="0.25">
      <c r="A611">
        <f t="shared" ca="1" si="48"/>
        <v>0</v>
      </c>
      <c r="C611">
        <f t="shared" ca="1" si="49"/>
        <v>0</v>
      </c>
      <c r="D611" t="s">
        <v>26</v>
      </c>
      <c r="E611" t="s">
        <v>64</v>
      </c>
      <c r="F611">
        <v>141</v>
      </c>
      <c r="G611" t="s">
        <v>605</v>
      </c>
      <c r="H611" t="s">
        <v>1368</v>
      </c>
      <c r="I611" t="s">
        <v>30</v>
      </c>
      <c r="J611" t="s">
        <v>26</v>
      </c>
      <c r="K611" t="s">
        <v>67</v>
      </c>
      <c r="L611" t="s">
        <v>1360</v>
      </c>
      <c r="O611">
        <v>4868181</v>
      </c>
      <c r="P611">
        <v>81</v>
      </c>
      <c r="Q611" t="s">
        <v>102</v>
      </c>
      <c r="R611">
        <v>1539.1</v>
      </c>
      <c r="S611">
        <v>1539.1</v>
      </c>
      <c r="T611">
        <v>0</v>
      </c>
      <c r="U611" t="s">
        <v>34</v>
      </c>
      <c r="V611" s="1">
        <v>46170</v>
      </c>
      <c r="W611" s="1">
        <v>46188</v>
      </c>
    </row>
    <row r="612" spans="1:24" x14ac:dyDescent="0.25">
      <c r="A612">
        <f t="shared" ca="1" si="48"/>
        <v>0</v>
      </c>
      <c r="C612">
        <f t="shared" ca="1" si="49"/>
        <v>0</v>
      </c>
      <c r="D612" t="s">
        <v>26</v>
      </c>
      <c r="E612" t="s">
        <v>64</v>
      </c>
      <c r="F612">
        <v>179</v>
      </c>
      <c r="G612" t="s">
        <v>65</v>
      </c>
      <c r="H612" t="s">
        <v>66</v>
      </c>
      <c r="I612" t="s">
        <v>30</v>
      </c>
      <c r="J612" t="s">
        <v>26</v>
      </c>
      <c r="K612" t="s">
        <v>67</v>
      </c>
      <c r="L612" t="s">
        <v>1360</v>
      </c>
      <c r="M612">
        <v>5000</v>
      </c>
      <c r="N612">
        <v>147</v>
      </c>
      <c r="O612">
        <v>4991469</v>
      </c>
      <c r="P612">
        <v>4551</v>
      </c>
      <c r="Q612" t="s">
        <v>461</v>
      </c>
      <c r="R612">
        <v>354.5</v>
      </c>
      <c r="S612">
        <v>354.5</v>
      </c>
      <c r="U612" t="s">
        <v>34</v>
      </c>
      <c r="V612" s="1">
        <v>46031</v>
      </c>
      <c r="W612" s="1">
        <v>46031</v>
      </c>
    </row>
    <row r="613" spans="1:24" x14ac:dyDescent="0.25">
      <c r="A613">
        <f t="shared" ca="1" si="48"/>
        <v>0</v>
      </c>
      <c r="C613">
        <f t="shared" ca="1" si="49"/>
        <v>0</v>
      </c>
      <c r="D613" t="s">
        <v>26</v>
      </c>
      <c r="E613" t="s">
        <v>64</v>
      </c>
      <c r="F613">
        <v>346</v>
      </c>
      <c r="G613" t="s">
        <v>65</v>
      </c>
      <c r="H613" t="s">
        <v>608</v>
      </c>
      <c r="I613" t="s">
        <v>30</v>
      </c>
      <c r="J613" t="s">
        <v>26</v>
      </c>
      <c r="K613" t="s">
        <v>67</v>
      </c>
      <c r="L613" t="s">
        <v>1360</v>
      </c>
      <c r="M613">
        <v>10000</v>
      </c>
      <c r="N613">
        <v>152</v>
      </c>
      <c r="O613">
        <v>4963136</v>
      </c>
      <c r="P613">
        <v>81</v>
      </c>
      <c r="Q613" t="s">
        <v>102</v>
      </c>
      <c r="R613">
        <v>1628.61</v>
      </c>
      <c r="S613">
        <v>1628.61</v>
      </c>
      <c r="U613" t="s">
        <v>34</v>
      </c>
      <c r="V613" s="1">
        <v>46062</v>
      </c>
      <c r="W613" s="1">
        <v>46066</v>
      </c>
    </row>
    <row r="614" spans="1:24" x14ac:dyDescent="0.25">
      <c r="A614">
        <f t="shared" ca="1" si="48"/>
        <v>0</v>
      </c>
      <c r="C614">
        <f t="shared" ca="1" si="49"/>
        <v>0</v>
      </c>
      <c r="D614" t="s">
        <v>95</v>
      </c>
      <c r="E614" t="s">
        <v>64</v>
      </c>
      <c r="F614">
        <v>896</v>
      </c>
      <c r="G614" t="s">
        <v>755</v>
      </c>
      <c r="H614" t="s">
        <v>1369</v>
      </c>
      <c r="I614" t="s">
        <v>30</v>
      </c>
      <c r="J614" t="s">
        <v>95</v>
      </c>
      <c r="K614" t="s">
        <v>67</v>
      </c>
      <c r="L614" t="s">
        <v>1360</v>
      </c>
      <c r="O614">
        <v>4990526</v>
      </c>
      <c r="P614">
        <v>153</v>
      </c>
      <c r="Q614" t="s">
        <v>98</v>
      </c>
      <c r="R614">
        <v>1346.02</v>
      </c>
      <c r="S614">
        <v>1094.43</v>
      </c>
      <c r="T614">
        <v>251.59</v>
      </c>
      <c r="U614" t="s">
        <v>40</v>
      </c>
      <c r="V614" s="1">
        <v>46119</v>
      </c>
      <c r="W614" s="1">
        <v>46122</v>
      </c>
    </row>
    <row r="615" spans="1:24" x14ac:dyDescent="0.25">
      <c r="A615">
        <f t="shared" ca="1" si="48"/>
        <v>0</v>
      </c>
      <c r="C615">
        <f t="shared" ca="1" si="49"/>
        <v>0</v>
      </c>
      <c r="D615" t="s">
        <v>196</v>
      </c>
      <c r="E615" t="s">
        <v>64</v>
      </c>
      <c r="F615">
        <v>955</v>
      </c>
      <c r="G615" t="s">
        <v>1217</v>
      </c>
      <c r="H615" t="s">
        <v>1370</v>
      </c>
      <c r="I615" t="s">
        <v>187</v>
      </c>
      <c r="J615" t="s">
        <v>196</v>
      </c>
      <c r="K615" t="s">
        <v>67</v>
      </c>
      <c r="L615" t="s">
        <v>1360</v>
      </c>
      <c r="M615">
        <v>7000</v>
      </c>
      <c r="N615">
        <v>96</v>
      </c>
      <c r="O615">
        <v>4929500</v>
      </c>
      <c r="P615">
        <v>3587</v>
      </c>
      <c r="Q615" t="s">
        <v>746</v>
      </c>
      <c r="R615">
        <v>1608</v>
      </c>
      <c r="T615">
        <v>1608</v>
      </c>
      <c r="U615" t="s">
        <v>107</v>
      </c>
      <c r="V615" s="1">
        <v>46310</v>
      </c>
      <c r="W615" s="1">
        <v>46325</v>
      </c>
      <c r="X615" t="s">
        <v>1371</v>
      </c>
    </row>
    <row r="616" spans="1:24" x14ac:dyDescent="0.25">
      <c r="A616">
        <f t="shared" ca="1" si="48"/>
        <v>0</v>
      </c>
      <c r="C616">
        <f t="shared" ca="1" si="49"/>
        <v>0</v>
      </c>
      <c r="D616" t="s">
        <v>26</v>
      </c>
      <c r="E616" t="s">
        <v>64</v>
      </c>
      <c r="F616">
        <v>995</v>
      </c>
      <c r="G616" t="s">
        <v>1217</v>
      </c>
      <c r="H616" t="s">
        <v>1372</v>
      </c>
      <c r="I616" t="s">
        <v>30</v>
      </c>
      <c r="J616" t="s">
        <v>26</v>
      </c>
      <c r="K616" t="s">
        <v>67</v>
      </c>
      <c r="L616" t="s">
        <v>1360</v>
      </c>
      <c r="O616">
        <v>4945663</v>
      </c>
      <c r="P616">
        <v>72</v>
      </c>
      <c r="Q616" t="s">
        <v>1373</v>
      </c>
      <c r="R616">
        <v>777.08</v>
      </c>
      <c r="T616">
        <v>777.08</v>
      </c>
      <c r="X616" t="s">
        <v>1374</v>
      </c>
    </row>
    <row r="617" spans="1:24" x14ac:dyDescent="0.25">
      <c r="A617">
        <f t="shared" ca="1" si="48"/>
        <v>0</v>
      </c>
      <c r="C617">
        <f t="shared" ca="1" si="49"/>
        <v>0</v>
      </c>
      <c r="D617" t="s">
        <v>209</v>
      </c>
      <c r="E617" t="s">
        <v>58</v>
      </c>
      <c r="F617">
        <v>48</v>
      </c>
      <c r="G617" t="s">
        <v>747</v>
      </c>
      <c r="H617" t="s">
        <v>1375</v>
      </c>
      <c r="I617" t="s">
        <v>44</v>
      </c>
      <c r="J617" t="s">
        <v>209</v>
      </c>
      <c r="K617" t="s">
        <v>61</v>
      </c>
      <c r="L617" t="s">
        <v>1376</v>
      </c>
      <c r="M617">
        <v>4000</v>
      </c>
      <c r="N617">
        <v>221</v>
      </c>
      <c r="O617">
        <v>5077093</v>
      </c>
      <c r="P617">
        <v>153</v>
      </c>
      <c r="Q617" t="s">
        <v>98</v>
      </c>
      <c r="U617" t="s">
        <v>34</v>
      </c>
    </row>
    <row r="618" spans="1:24" x14ac:dyDescent="0.25">
      <c r="A618">
        <f t="shared" ca="1" si="48"/>
        <v>0</v>
      </c>
      <c r="C618">
        <f t="shared" ca="1" si="49"/>
        <v>0</v>
      </c>
      <c r="D618" t="s">
        <v>57</v>
      </c>
      <c r="E618" t="s">
        <v>237</v>
      </c>
      <c r="F618">
        <v>229</v>
      </c>
      <c r="G618" t="s">
        <v>584</v>
      </c>
      <c r="H618" t="s">
        <v>1377</v>
      </c>
      <c r="I618" t="s">
        <v>44</v>
      </c>
      <c r="J618" t="s">
        <v>57</v>
      </c>
      <c r="K618" t="s">
        <v>240</v>
      </c>
      <c r="L618" t="s">
        <v>1378</v>
      </c>
      <c r="M618">
        <v>16500</v>
      </c>
      <c r="N618">
        <v>45</v>
      </c>
      <c r="O618">
        <v>5078495</v>
      </c>
      <c r="P618">
        <v>1519</v>
      </c>
      <c r="Q618" t="s">
        <v>1379</v>
      </c>
      <c r="R618">
        <v>5299.8</v>
      </c>
      <c r="T618">
        <v>5299.8</v>
      </c>
    </row>
    <row r="619" spans="1:24" x14ac:dyDescent="0.25">
      <c r="A619">
        <f t="shared" ca="1" si="48"/>
        <v>0</v>
      </c>
      <c r="C619">
        <f t="shared" ca="1" si="49"/>
        <v>0</v>
      </c>
      <c r="D619" t="s">
        <v>74</v>
      </c>
      <c r="E619" t="s">
        <v>49</v>
      </c>
      <c r="F619">
        <v>1571</v>
      </c>
      <c r="G619" t="s">
        <v>670</v>
      </c>
      <c r="H619" t="s">
        <v>841</v>
      </c>
      <c r="I619" t="s">
        <v>30</v>
      </c>
      <c r="J619" t="s">
        <v>74</v>
      </c>
      <c r="K619" t="s">
        <v>326</v>
      </c>
      <c r="L619" t="s">
        <v>1380</v>
      </c>
      <c r="M619">
        <v>38000</v>
      </c>
      <c r="N619">
        <v>654</v>
      </c>
      <c r="O619">
        <v>5088016</v>
      </c>
      <c r="P619">
        <v>39</v>
      </c>
      <c r="Q619" t="s">
        <v>779</v>
      </c>
      <c r="R619">
        <v>69300</v>
      </c>
      <c r="T619">
        <v>69300</v>
      </c>
      <c r="U619" t="s">
        <v>40</v>
      </c>
      <c r="V619" s="1">
        <v>46272</v>
      </c>
      <c r="W619" s="1">
        <v>46325</v>
      </c>
      <c r="X619" t="s">
        <v>1381</v>
      </c>
    </row>
    <row r="620" spans="1:24" x14ac:dyDescent="0.25">
      <c r="A620">
        <f t="shared" ca="1" si="48"/>
        <v>0</v>
      </c>
      <c r="C620">
        <f t="shared" ca="1" si="49"/>
        <v>0</v>
      </c>
      <c r="D620" t="s">
        <v>74</v>
      </c>
      <c r="E620" t="s">
        <v>237</v>
      </c>
      <c r="F620">
        <v>672</v>
      </c>
      <c r="G620" t="s">
        <v>258</v>
      </c>
      <c r="H620" t="s">
        <v>1382</v>
      </c>
      <c r="I620" t="s">
        <v>30</v>
      </c>
      <c r="J620" t="s">
        <v>74</v>
      </c>
      <c r="K620" t="s">
        <v>240</v>
      </c>
      <c r="L620" t="s">
        <v>1383</v>
      </c>
      <c r="M620">
        <v>20000</v>
      </c>
      <c r="N620">
        <v>80</v>
      </c>
      <c r="O620">
        <v>5102841</v>
      </c>
      <c r="P620">
        <v>261</v>
      </c>
      <c r="Q620" t="s">
        <v>776</v>
      </c>
      <c r="R620">
        <v>16485.580000000002</v>
      </c>
      <c r="S620">
        <v>4945.68</v>
      </c>
      <c r="T620">
        <v>11539.9</v>
      </c>
      <c r="X620" t="s">
        <v>1384</v>
      </c>
    </row>
    <row r="621" spans="1:24" x14ac:dyDescent="0.25">
      <c r="A621">
        <f t="shared" ca="1" si="48"/>
        <v>0</v>
      </c>
      <c r="C621">
        <f t="shared" ca="1" si="49"/>
        <v>0</v>
      </c>
      <c r="D621" t="s">
        <v>209</v>
      </c>
      <c r="E621" t="s">
        <v>27</v>
      </c>
      <c r="F621">
        <v>470</v>
      </c>
      <c r="G621" t="s">
        <v>85</v>
      </c>
      <c r="H621" t="s">
        <v>1385</v>
      </c>
      <c r="I621" t="s">
        <v>44</v>
      </c>
      <c r="J621" t="s">
        <v>209</v>
      </c>
      <c r="K621" t="s">
        <v>31</v>
      </c>
      <c r="L621" t="s">
        <v>1386</v>
      </c>
      <c r="M621">
        <v>9000</v>
      </c>
      <c r="N621">
        <v>350</v>
      </c>
      <c r="O621">
        <v>5081964</v>
      </c>
      <c r="P621">
        <v>81</v>
      </c>
      <c r="Q621" t="s">
        <v>102</v>
      </c>
      <c r="R621">
        <v>5984.4</v>
      </c>
      <c r="T621">
        <v>5984.4</v>
      </c>
      <c r="U621" t="s">
        <v>40</v>
      </c>
      <c r="V621" s="1">
        <v>46266</v>
      </c>
      <c r="W621" s="1">
        <v>46295</v>
      </c>
      <c r="X621" t="s">
        <v>1387</v>
      </c>
    </row>
    <row r="622" spans="1:24" x14ac:dyDescent="0.25">
      <c r="A622">
        <f t="shared" ca="1" si="48"/>
        <v>0</v>
      </c>
      <c r="C622">
        <f t="shared" ca="1" si="49"/>
        <v>0</v>
      </c>
      <c r="D622" t="s">
        <v>209</v>
      </c>
      <c r="E622" t="s">
        <v>184</v>
      </c>
      <c r="F622">
        <v>913</v>
      </c>
      <c r="G622" t="s">
        <v>334</v>
      </c>
      <c r="H622" t="s">
        <v>1388</v>
      </c>
      <c r="I622" t="s">
        <v>44</v>
      </c>
      <c r="J622" t="s">
        <v>209</v>
      </c>
      <c r="K622" t="s">
        <v>188</v>
      </c>
      <c r="L622" t="s">
        <v>1389</v>
      </c>
      <c r="M622">
        <v>8000</v>
      </c>
      <c r="N622">
        <v>450</v>
      </c>
      <c r="O622">
        <v>5082812</v>
      </c>
      <c r="P622">
        <v>27083</v>
      </c>
      <c r="Q622" t="s">
        <v>1358</v>
      </c>
      <c r="R622">
        <v>7461.95</v>
      </c>
      <c r="T622">
        <v>7461.95</v>
      </c>
    </row>
    <row r="623" spans="1:24" x14ac:dyDescent="0.25">
      <c r="A623">
        <f t="shared" ca="1" si="48"/>
        <v>0</v>
      </c>
      <c r="C623">
        <f t="shared" ca="1" si="49"/>
        <v>0</v>
      </c>
      <c r="D623" t="s">
        <v>88</v>
      </c>
      <c r="E623" t="s">
        <v>58</v>
      </c>
      <c r="F623">
        <v>337</v>
      </c>
      <c r="G623" t="s">
        <v>293</v>
      </c>
      <c r="H623" t="s">
        <v>1390</v>
      </c>
      <c r="I623" t="s">
        <v>30</v>
      </c>
      <c r="J623" t="s">
        <v>88</v>
      </c>
      <c r="K623" t="s">
        <v>61</v>
      </c>
      <c r="L623" t="s">
        <v>1391</v>
      </c>
      <c r="M623">
        <v>75000</v>
      </c>
      <c r="N623">
        <v>248</v>
      </c>
      <c r="P623">
        <v>3278</v>
      </c>
      <c r="Q623" t="s">
        <v>785</v>
      </c>
      <c r="R623">
        <v>3654.2</v>
      </c>
      <c r="S623">
        <v>3654.2</v>
      </c>
      <c r="T623">
        <v>0</v>
      </c>
      <c r="U623" t="s">
        <v>34</v>
      </c>
    </row>
    <row r="624" spans="1:24" x14ac:dyDescent="0.25">
      <c r="A624">
        <f t="shared" ca="1" si="48"/>
        <v>0</v>
      </c>
      <c r="C624">
        <f t="shared" ca="1" si="49"/>
        <v>0</v>
      </c>
      <c r="D624" t="s">
        <v>35</v>
      </c>
      <c r="E624" t="s">
        <v>58</v>
      </c>
      <c r="F624">
        <v>1164</v>
      </c>
      <c r="G624" t="s">
        <v>464</v>
      </c>
      <c r="H624" t="s">
        <v>1392</v>
      </c>
      <c r="I624" t="s">
        <v>30</v>
      </c>
      <c r="J624" t="s">
        <v>35</v>
      </c>
      <c r="K624" t="s">
        <v>61</v>
      </c>
      <c r="L624" t="s">
        <v>1309</v>
      </c>
      <c r="P624">
        <v>911</v>
      </c>
      <c r="Q624" t="s">
        <v>621</v>
      </c>
      <c r="R624">
        <v>2108.04</v>
      </c>
      <c r="S624">
        <v>2108.04</v>
      </c>
      <c r="T624">
        <v>0</v>
      </c>
      <c r="U624" t="s">
        <v>34</v>
      </c>
    </row>
    <row r="625" spans="1:24" x14ac:dyDescent="0.25">
      <c r="A625">
        <f t="shared" ca="1" si="48"/>
        <v>0</v>
      </c>
      <c r="C625">
        <f t="shared" ca="1" si="49"/>
        <v>0</v>
      </c>
      <c r="D625" t="s">
        <v>196</v>
      </c>
      <c r="E625" t="s">
        <v>64</v>
      </c>
      <c r="F625">
        <v>199</v>
      </c>
      <c r="G625" t="s">
        <v>755</v>
      </c>
      <c r="H625" t="s">
        <v>1393</v>
      </c>
      <c r="I625" t="s">
        <v>187</v>
      </c>
      <c r="J625" t="s">
        <v>196</v>
      </c>
      <c r="K625" t="s">
        <v>67</v>
      </c>
      <c r="L625" t="s">
        <v>1394</v>
      </c>
      <c r="M625">
        <v>5000</v>
      </c>
      <c r="N625">
        <v>97</v>
      </c>
      <c r="O625">
        <v>5089966</v>
      </c>
      <c r="P625">
        <v>2391</v>
      </c>
      <c r="Q625" t="s">
        <v>314</v>
      </c>
      <c r="R625">
        <v>2197.25</v>
      </c>
      <c r="S625">
        <v>2197.25</v>
      </c>
      <c r="U625" t="s">
        <v>34</v>
      </c>
      <c r="V625" s="1">
        <v>46164</v>
      </c>
      <c r="W625" s="1">
        <v>46169</v>
      </c>
      <c r="X625" t="s">
        <v>1395</v>
      </c>
    </row>
    <row r="626" spans="1:24" x14ac:dyDescent="0.25">
      <c r="A626">
        <f t="shared" ca="1" si="48"/>
        <v>0</v>
      </c>
      <c r="C626">
        <f t="shared" ca="1" si="49"/>
        <v>0</v>
      </c>
      <c r="D626" t="s">
        <v>79</v>
      </c>
      <c r="E626" t="s">
        <v>64</v>
      </c>
      <c r="F626">
        <v>262</v>
      </c>
      <c r="G626" t="s">
        <v>1217</v>
      </c>
      <c r="H626" t="s">
        <v>1396</v>
      </c>
      <c r="I626" t="s">
        <v>30</v>
      </c>
      <c r="J626" t="s">
        <v>79</v>
      </c>
      <c r="K626" t="s">
        <v>67</v>
      </c>
      <c r="L626" t="s">
        <v>1397</v>
      </c>
      <c r="P626">
        <v>3933</v>
      </c>
      <c r="Q626" t="s">
        <v>1398</v>
      </c>
      <c r="R626">
        <v>2207.9899999999998</v>
      </c>
      <c r="T626">
        <v>2207.9899999999998</v>
      </c>
      <c r="U626" t="s">
        <v>34</v>
      </c>
      <c r="X626" t="s">
        <v>1399</v>
      </c>
    </row>
    <row r="627" spans="1:24" x14ac:dyDescent="0.25">
      <c r="A627">
        <f t="shared" ca="1" si="48"/>
        <v>0</v>
      </c>
      <c r="C627">
        <f t="shared" ca="1" si="49"/>
        <v>0</v>
      </c>
      <c r="D627" t="s">
        <v>41</v>
      </c>
      <c r="E627" t="s">
        <v>49</v>
      </c>
      <c r="F627">
        <v>1693</v>
      </c>
      <c r="G627" t="s">
        <v>263</v>
      </c>
      <c r="H627" t="s">
        <v>1400</v>
      </c>
      <c r="I627" t="s">
        <v>44</v>
      </c>
      <c r="J627" t="s">
        <v>41</v>
      </c>
      <c r="K627" t="s">
        <v>52</v>
      </c>
      <c r="L627" t="s">
        <v>1401</v>
      </c>
      <c r="O627">
        <v>5091061</v>
      </c>
      <c r="P627">
        <v>4921</v>
      </c>
      <c r="Q627" t="s">
        <v>94</v>
      </c>
      <c r="R627">
        <v>3270.23</v>
      </c>
      <c r="S627">
        <v>3270.23</v>
      </c>
      <c r="T627">
        <v>0</v>
      </c>
      <c r="U627" t="s">
        <v>34</v>
      </c>
      <c r="V627" s="1">
        <v>46257</v>
      </c>
      <c r="W627" s="1">
        <v>46261</v>
      </c>
    </row>
    <row r="628" spans="1:24" x14ac:dyDescent="0.25">
      <c r="A628">
        <f t="shared" ca="1" si="48"/>
        <v>0</v>
      </c>
      <c r="C628">
        <f t="shared" ca="1" si="49"/>
        <v>0</v>
      </c>
      <c r="D628" t="s">
        <v>88</v>
      </c>
      <c r="E628" t="s">
        <v>627</v>
      </c>
      <c r="F628">
        <v>600</v>
      </c>
      <c r="G628" t="s">
        <v>1120</v>
      </c>
      <c r="H628" t="s">
        <v>1402</v>
      </c>
      <c r="I628" t="s">
        <v>30</v>
      </c>
      <c r="J628" t="s">
        <v>88</v>
      </c>
      <c r="K628" t="s">
        <v>188</v>
      </c>
      <c r="L628" t="s">
        <v>1403</v>
      </c>
      <c r="M628">
        <v>19000</v>
      </c>
      <c r="N628">
        <v>752</v>
      </c>
      <c r="X628" t="s">
        <v>212</v>
      </c>
    </row>
    <row r="629" spans="1:24" x14ac:dyDescent="0.25">
      <c r="A629">
        <f t="shared" ca="1" si="48"/>
        <v>0</v>
      </c>
      <c r="C629">
        <f t="shared" ca="1" si="49"/>
        <v>0</v>
      </c>
      <c r="D629" t="s">
        <v>203</v>
      </c>
      <c r="E629" t="s">
        <v>58</v>
      </c>
      <c r="F629">
        <v>58</v>
      </c>
      <c r="G629" t="s">
        <v>224</v>
      </c>
      <c r="H629" t="s">
        <v>1404</v>
      </c>
      <c r="I629" t="s">
        <v>44</v>
      </c>
      <c r="J629" t="s">
        <v>203</v>
      </c>
      <c r="K629" t="s">
        <v>61</v>
      </c>
      <c r="L629" t="s">
        <v>1405</v>
      </c>
      <c r="M629">
        <v>15000</v>
      </c>
      <c r="N629">
        <v>202</v>
      </c>
      <c r="O629">
        <v>5098152</v>
      </c>
      <c r="P629">
        <v>357</v>
      </c>
      <c r="Q629" t="s">
        <v>1406</v>
      </c>
      <c r="R629">
        <v>7590</v>
      </c>
      <c r="S629">
        <v>7210.5</v>
      </c>
      <c r="T629">
        <v>379.5</v>
      </c>
      <c r="U629" t="s">
        <v>40</v>
      </c>
      <c r="X629" t="s">
        <v>1407</v>
      </c>
    </row>
    <row r="631" spans="1:24" x14ac:dyDescent="0.25">
      <c r="A631">
        <f t="shared" ref="A631:A643" ca="1" si="50">+ Cmde</f>
        <v>0</v>
      </c>
      <c r="C631">
        <f t="shared" ref="C631:C643" ca="1" si="51">+ Devis</f>
        <v>0</v>
      </c>
      <c r="D631" t="s">
        <v>57</v>
      </c>
      <c r="E631" t="s">
        <v>627</v>
      </c>
      <c r="F631">
        <v>762</v>
      </c>
      <c r="G631" t="s">
        <v>628</v>
      </c>
      <c r="H631" t="s">
        <v>1408</v>
      </c>
      <c r="I631" t="s">
        <v>44</v>
      </c>
      <c r="J631" t="s">
        <v>57</v>
      </c>
      <c r="K631" t="s">
        <v>188</v>
      </c>
      <c r="L631" t="s">
        <v>1409</v>
      </c>
      <c r="M631">
        <v>25000</v>
      </c>
      <c r="N631">
        <v>743</v>
      </c>
      <c r="P631">
        <v>4061</v>
      </c>
      <c r="Q631" t="s">
        <v>310</v>
      </c>
      <c r="R631">
        <v>855.52</v>
      </c>
      <c r="S631">
        <v>855.52</v>
      </c>
      <c r="T631">
        <v>0</v>
      </c>
      <c r="U631" t="s">
        <v>34</v>
      </c>
    </row>
    <row r="632" spans="1:24" x14ac:dyDescent="0.25">
      <c r="A632">
        <f t="shared" ca="1" si="50"/>
        <v>0</v>
      </c>
      <c r="C632">
        <f t="shared" ca="1" si="51"/>
        <v>0</v>
      </c>
      <c r="D632" t="s">
        <v>221</v>
      </c>
      <c r="E632" t="s">
        <v>627</v>
      </c>
      <c r="F632">
        <v>941</v>
      </c>
      <c r="G632" t="s">
        <v>1120</v>
      </c>
      <c r="H632" t="s">
        <v>1410</v>
      </c>
      <c r="I632" t="s">
        <v>187</v>
      </c>
      <c r="J632" t="s">
        <v>221</v>
      </c>
      <c r="K632" t="s">
        <v>188</v>
      </c>
      <c r="L632" t="s">
        <v>1411</v>
      </c>
      <c r="P632">
        <v>4061</v>
      </c>
      <c r="Q632" t="s">
        <v>310</v>
      </c>
      <c r="R632">
        <v>1980</v>
      </c>
      <c r="S632">
        <v>1980</v>
      </c>
      <c r="T632">
        <v>0</v>
      </c>
      <c r="U632" t="s">
        <v>34</v>
      </c>
    </row>
    <row r="633" spans="1:24" x14ac:dyDescent="0.25">
      <c r="A633">
        <f t="shared" ca="1" si="50"/>
        <v>0</v>
      </c>
      <c r="C633">
        <f t="shared" ca="1" si="51"/>
        <v>0</v>
      </c>
      <c r="D633" t="s">
        <v>57</v>
      </c>
      <c r="E633" t="s">
        <v>627</v>
      </c>
      <c r="F633">
        <v>1376</v>
      </c>
      <c r="G633" t="s">
        <v>1120</v>
      </c>
      <c r="H633" t="s">
        <v>1412</v>
      </c>
      <c r="I633" t="s">
        <v>44</v>
      </c>
      <c r="J633" t="s">
        <v>57</v>
      </c>
      <c r="K633" t="s">
        <v>188</v>
      </c>
      <c r="L633" t="s">
        <v>1413</v>
      </c>
      <c r="P633">
        <v>8145</v>
      </c>
      <c r="Q633" t="s">
        <v>1414</v>
      </c>
      <c r="R633">
        <v>1718.37</v>
      </c>
      <c r="S633">
        <v>1718.37</v>
      </c>
      <c r="T633">
        <v>0</v>
      </c>
      <c r="U633" t="s">
        <v>34</v>
      </c>
    </row>
    <row r="634" spans="1:24" x14ac:dyDescent="0.25">
      <c r="A634">
        <f t="shared" ca="1" si="50"/>
        <v>0</v>
      </c>
      <c r="C634">
        <f t="shared" ca="1" si="51"/>
        <v>0</v>
      </c>
      <c r="D634" t="s">
        <v>41</v>
      </c>
      <c r="E634" t="s">
        <v>58</v>
      </c>
      <c r="F634">
        <v>531</v>
      </c>
      <c r="G634" t="s">
        <v>897</v>
      </c>
      <c r="H634" t="s">
        <v>1262</v>
      </c>
      <c r="I634" t="s">
        <v>44</v>
      </c>
      <c r="J634" t="s">
        <v>41</v>
      </c>
      <c r="K634" t="s">
        <v>61</v>
      </c>
      <c r="L634" t="s">
        <v>1415</v>
      </c>
      <c r="M634">
        <v>15000</v>
      </c>
      <c r="N634">
        <v>203</v>
      </c>
      <c r="O634">
        <v>5098824</v>
      </c>
      <c r="P634">
        <v>25204</v>
      </c>
      <c r="Q634" t="s">
        <v>46</v>
      </c>
      <c r="R634">
        <v>14127.2</v>
      </c>
      <c r="S634">
        <v>14127.2</v>
      </c>
      <c r="T634">
        <v>0</v>
      </c>
      <c r="U634" t="s">
        <v>34</v>
      </c>
    </row>
    <row r="635" spans="1:24" x14ac:dyDescent="0.25">
      <c r="A635">
        <f t="shared" ca="1" si="50"/>
        <v>0</v>
      </c>
      <c r="C635">
        <f t="shared" ca="1" si="51"/>
        <v>0</v>
      </c>
      <c r="D635" t="s">
        <v>57</v>
      </c>
      <c r="E635" t="s">
        <v>58</v>
      </c>
      <c r="F635">
        <v>1163</v>
      </c>
      <c r="G635" t="s">
        <v>59</v>
      </c>
      <c r="H635" t="s">
        <v>591</v>
      </c>
      <c r="I635" t="s">
        <v>44</v>
      </c>
      <c r="J635" t="s">
        <v>57</v>
      </c>
      <c r="K635" t="s">
        <v>61</v>
      </c>
      <c r="L635" t="s">
        <v>1416</v>
      </c>
      <c r="O635">
        <v>5098849</v>
      </c>
      <c r="P635">
        <v>1519</v>
      </c>
      <c r="Q635" t="s">
        <v>1379</v>
      </c>
    </row>
    <row r="636" spans="1:24" x14ac:dyDescent="0.25">
      <c r="A636">
        <f t="shared" ca="1" si="50"/>
        <v>0</v>
      </c>
      <c r="C636">
        <f t="shared" ca="1" si="51"/>
        <v>0</v>
      </c>
      <c r="D636" t="s">
        <v>35</v>
      </c>
      <c r="E636" t="s">
        <v>445</v>
      </c>
      <c r="F636">
        <v>2424</v>
      </c>
      <c r="G636" t="s">
        <v>521</v>
      </c>
      <c r="H636" t="s">
        <v>1417</v>
      </c>
      <c r="I636" t="s">
        <v>30</v>
      </c>
      <c r="J636" t="s">
        <v>35</v>
      </c>
      <c r="K636" t="s">
        <v>448</v>
      </c>
      <c r="L636" t="s">
        <v>1418</v>
      </c>
      <c r="O636">
        <v>5103234</v>
      </c>
      <c r="P636">
        <v>24023</v>
      </c>
      <c r="Q636" t="s">
        <v>599</v>
      </c>
      <c r="R636">
        <v>959.38</v>
      </c>
      <c r="T636">
        <v>959.38</v>
      </c>
    </row>
    <row r="637" spans="1:24" x14ac:dyDescent="0.25">
      <c r="A637">
        <f t="shared" ca="1" si="50"/>
        <v>0</v>
      </c>
      <c r="C637">
        <f t="shared" ca="1" si="51"/>
        <v>0</v>
      </c>
      <c r="D637" t="s">
        <v>562</v>
      </c>
      <c r="E637" t="s">
        <v>445</v>
      </c>
      <c r="F637">
        <v>2424</v>
      </c>
      <c r="G637" t="s">
        <v>521</v>
      </c>
      <c r="H637" t="s">
        <v>1417</v>
      </c>
      <c r="I637" t="s">
        <v>30</v>
      </c>
      <c r="J637" t="s">
        <v>562</v>
      </c>
      <c r="K637" t="s">
        <v>448</v>
      </c>
      <c r="L637" t="s">
        <v>1419</v>
      </c>
      <c r="O637">
        <v>5103226</v>
      </c>
      <c r="P637">
        <v>5832</v>
      </c>
      <c r="Q637" t="s">
        <v>302</v>
      </c>
      <c r="R637">
        <v>7819.17</v>
      </c>
      <c r="T637">
        <v>7819.17</v>
      </c>
    </row>
    <row r="638" spans="1:24" x14ac:dyDescent="0.25">
      <c r="A638">
        <f t="shared" ca="1" si="50"/>
        <v>0</v>
      </c>
      <c r="C638">
        <f t="shared" ca="1" si="51"/>
        <v>0</v>
      </c>
      <c r="D638" t="s">
        <v>88</v>
      </c>
      <c r="E638" t="s">
        <v>245</v>
      </c>
      <c r="F638">
        <v>1964</v>
      </c>
      <c r="G638" t="s">
        <v>771</v>
      </c>
      <c r="H638" t="s">
        <v>1420</v>
      </c>
      <c r="I638" t="s">
        <v>30</v>
      </c>
      <c r="J638" t="s">
        <v>88</v>
      </c>
      <c r="K638" t="s">
        <v>188</v>
      </c>
      <c r="L638" t="s">
        <v>1421</v>
      </c>
      <c r="O638">
        <v>5108793</v>
      </c>
      <c r="P638">
        <v>39</v>
      </c>
      <c r="Q638" t="s">
        <v>779</v>
      </c>
      <c r="R638">
        <v>3318.34</v>
      </c>
      <c r="T638">
        <v>3318.34</v>
      </c>
      <c r="U638" t="s">
        <v>40</v>
      </c>
      <c r="V638" s="1">
        <v>46269</v>
      </c>
      <c r="W638" s="1">
        <v>46272</v>
      </c>
    </row>
    <row r="639" spans="1:24" x14ac:dyDescent="0.25">
      <c r="A639">
        <f t="shared" ca="1" si="50"/>
        <v>0</v>
      </c>
      <c r="C639">
        <f t="shared" ca="1" si="51"/>
        <v>0</v>
      </c>
      <c r="D639" t="s">
        <v>26</v>
      </c>
      <c r="E639" t="s">
        <v>27</v>
      </c>
      <c r="F639">
        <v>269</v>
      </c>
      <c r="G639" t="s">
        <v>85</v>
      </c>
      <c r="H639" t="s">
        <v>1422</v>
      </c>
      <c r="I639" t="s">
        <v>30</v>
      </c>
      <c r="J639" t="s">
        <v>26</v>
      </c>
      <c r="K639" t="s">
        <v>31</v>
      </c>
      <c r="L639" t="s">
        <v>1222</v>
      </c>
      <c r="O639">
        <v>5113605</v>
      </c>
      <c r="P639">
        <v>2625</v>
      </c>
      <c r="Q639" t="s">
        <v>242</v>
      </c>
      <c r="R639">
        <v>4166.8</v>
      </c>
      <c r="T639">
        <v>4166.8</v>
      </c>
      <c r="U639" t="s">
        <v>40</v>
      </c>
      <c r="V639" s="1">
        <v>46266</v>
      </c>
      <c r="W639" s="1">
        <v>46327</v>
      </c>
    </row>
    <row r="640" spans="1:24" x14ac:dyDescent="0.25">
      <c r="A640">
        <f t="shared" ca="1" si="50"/>
        <v>0</v>
      </c>
      <c r="C640">
        <f t="shared" ca="1" si="51"/>
        <v>0</v>
      </c>
      <c r="D640" t="s">
        <v>74</v>
      </c>
      <c r="E640" t="s">
        <v>27</v>
      </c>
      <c r="F640">
        <v>2337</v>
      </c>
      <c r="G640" t="s">
        <v>36</v>
      </c>
      <c r="H640" t="s">
        <v>1423</v>
      </c>
      <c r="I640" t="s">
        <v>30</v>
      </c>
      <c r="J640" t="s">
        <v>74</v>
      </c>
      <c r="K640" t="s">
        <v>31</v>
      </c>
      <c r="L640" t="s">
        <v>1424</v>
      </c>
      <c r="O640">
        <v>5113875</v>
      </c>
      <c r="P640">
        <v>16262</v>
      </c>
      <c r="Q640" t="s">
        <v>697</v>
      </c>
      <c r="R640">
        <v>8485.9500000000007</v>
      </c>
      <c r="T640">
        <v>8485.9500000000007</v>
      </c>
      <c r="U640" t="s">
        <v>40</v>
      </c>
      <c r="V640" s="1">
        <v>46280</v>
      </c>
      <c r="W640" s="1">
        <v>46310</v>
      </c>
    </row>
    <row r="641" spans="1:24" x14ac:dyDescent="0.25">
      <c r="A641">
        <f t="shared" ca="1" si="50"/>
        <v>0</v>
      </c>
      <c r="C641">
        <f t="shared" ca="1" si="51"/>
        <v>0</v>
      </c>
      <c r="D641" t="s">
        <v>41</v>
      </c>
      <c r="E641" t="s">
        <v>58</v>
      </c>
      <c r="F641">
        <v>879</v>
      </c>
      <c r="G641" t="s">
        <v>602</v>
      </c>
      <c r="H641" t="s">
        <v>1425</v>
      </c>
      <c r="I641" t="s">
        <v>44</v>
      </c>
      <c r="J641" t="s">
        <v>41</v>
      </c>
      <c r="K641" t="s">
        <v>61</v>
      </c>
      <c r="L641" t="s">
        <v>1426</v>
      </c>
      <c r="O641">
        <v>5116159</v>
      </c>
      <c r="P641">
        <v>4921</v>
      </c>
      <c r="Q641" t="s">
        <v>94</v>
      </c>
      <c r="R641">
        <v>8358.76</v>
      </c>
      <c r="T641">
        <v>8358.76</v>
      </c>
      <c r="X641" t="s">
        <v>593</v>
      </c>
    </row>
    <row r="642" spans="1:24" x14ac:dyDescent="0.25">
      <c r="A642">
        <f t="shared" ca="1" si="50"/>
        <v>0</v>
      </c>
      <c r="C642">
        <f t="shared" ca="1" si="51"/>
        <v>0</v>
      </c>
      <c r="D642" t="s">
        <v>95</v>
      </c>
      <c r="E642" t="s">
        <v>49</v>
      </c>
      <c r="F642">
        <v>891</v>
      </c>
      <c r="G642" t="s">
        <v>228</v>
      </c>
      <c r="H642" t="s">
        <v>1427</v>
      </c>
      <c r="I642" t="s">
        <v>30</v>
      </c>
      <c r="J642" t="s">
        <v>95</v>
      </c>
      <c r="K642" t="s">
        <v>52</v>
      </c>
      <c r="L642" t="s">
        <v>1428</v>
      </c>
      <c r="O642">
        <v>5117615</v>
      </c>
      <c r="P642">
        <v>24265</v>
      </c>
      <c r="Q642" t="s">
        <v>328</v>
      </c>
      <c r="R642">
        <v>2708.17</v>
      </c>
      <c r="T642">
        <v>2708.17</v>
      </c>
    </row>
    <row r="643" spans="1:24" x14ac:dyDescent="0.25">
      <c r="A643">
        <f t="shared" ca="1" si="50"/>
        <v>0</v>
      </c>
      <c r="C643">
        <f t="shared" ca="1" si="51"/>
        <v>0</v>
      </c>
      <c r="D643" t="s">
        <v>35</v>
      </c>
      <c r="E643" t="s">
        <v>49</v>
      </c>
      <c r="F643">
        <v>1641</v>
      </c>
      <c r="G643" t="s">
        <v>263</v>
      </c>
      <c r="H643" t="s">
        <v>859</v>
      </c>
      <c r="I643" t="s">
        <v>30</v>
      </c>
      <c r="J643" t="s">
        <v>35</v>
      </c>
      <c r="K643" t="s">
        <v>52</v>
      </c>
      <c r="L643" t="s">
        <v>1429</v>
      </c>
      <c r="M643">
        <v>3000</v>
      </c>
      <c r="N643">
        <v>704</v>
      </c>
      <c r="O643">
        <v>5117929</v>
      </c>
      <c r="P643">
        <v>6455</v>
      </c>
      <c r="Q643" t="s">
        <v>39</v>
      </c>
      <c r="R643">
        <v>3466.16</v>
      </c>
      <c r="T643">
        <v>3466.16</v>
      </c>
      <c r="U643" t="s">
        <v>107</v>
      </c>
      <c r="V643" s="1">
        <v>46286</v>
      </c>
      <c r="W643" s="1">
        <v>46290</v>
      </c>
    </row>
    <row r="646" spans="1:24" x14ac:dyDescent="0.25">
      <c r="A646" t="s">
        <v>1430</v>
      </c>
    </row>
    <row r="647" spans="1:24" x14ac:dyDescent="0.25">
      <c r="A647">
        <f t="shared" ref="A647:A652" ca="1" si="52">+ Cmde</f>
        <v>0</v>
      </c>
      <c r="C647">
        <f t="shared" ref="C647:C652" ca="1" si="53">+ Devis</f>
        <v>0</v>
      </c>
      <c r="D647" t="s">
        <v>26</v>
      </c>
      <c r="E647" t="s">
        <v>49</v>
      </c>
      <c r="F647">
        <v>1605</v>
      </c>
      <c r="G647" t="s">
        <v>689</v>
      </c>
      <c r="H647" t="s">
        <v>960</v>
      </c>
      <c r="I647" t="s">
        <v>30</v>
      </c>
      <c r="J647" t="s">
        <v>26</v>
      </c>
      <c r="K647" t="s">
        <v>52</v>
      </c>
      <c r="L647" t="s">
        <v>961</v>
      </c>
      <c r="M647">
        <v>5000</v>
      </c>
      <c r="N647">
        <v>697</v>
      </c>
      <c r="O647">
        <v>5119579</v>
      </c>
      <c r="P647">
        <v>6455</v>
      </c>
      <c r="Q647" t="s">
        <v>39</v>
      </c>
      <c r="R647">
        <v>5015.97</v>
      </c>
      <c r="T647">
        <v>5015.97</v>
      </c>
    </row>
    <row r="648" spans="1:24" x14ac:dyDescent="0.25">
      <c r="A648">
        <f t="shared" ca="1" si="52"/>
        <v>0</v>
      </c>
      <c r="C648">
        <f t="shared" ca="1" si="53"/>
        <v>0</v>
      </c>
      <c r="D648" t="s">
        <v>88</v>
      </c>
      <c r="E648" t="s">
        <v>58</v>
      </c>
      <c r="F648">
        <v>340</v>
      </c>
      <c r="G648" t="s">
        <v>426</v>
      </c>
      <c r="H648" t="s">
        <v>468</v>
      </c>
      <c r="I648" t="s">
        <v>30</v>
      </c>
      <c r="J648" t="s">
        <v>88</v>
      </c>
      <c r="K648" t="s">
        <v>61</v>
      </c>
      <c r="L648" t="s">
        <v>1431</v>
      </c>
      <c r="P648">
        <v>1499</v>
      </c>
      <c r="Q648" t="s">
        <v>470</v>
      </c>
      <c r="R648">
        <v>-1032.79</v>
      </c>
      <c r="S648">
        <v>-1032.79</v>
      </c>
      <c r="T648">
        <v>0</v>
      </c>
      <c r="U648" t="s">
        <v>34</v>
      </c>
    </row>
    <row r="649" spans="1:24" x14ac:dyDescent="0.25">
      <c r="A649">
        <f t="shared" ca="1" si="52"/>
        <v>0</v>
      </c>
      <c r="C649">
        <f t="shared" ca="1" si="53"/>
        <v>0</v>
      </c>
      <c r="D649" t="s">
        <v>57</v>
      </c>
      <c r="E649" t="s">
        <v>58</v>
      </c>
      <c r="F649">
        <v>655</v>
      </c>
      <c r="G649" t="s">
        <v>59</v>
      </c>
      <c r="H649" t="s">
        <v>1432</v>
      </c>
      <c r="I649" t="s">
        <v>44</v>
      </c>
      <c r="J649" t="s">
        <v>57</v>
      </c>
      <c r="K649" t="s">
        <v>61</v>
      </c>
      <c r="L649" t="s">
        <v>1433</v>
      </c>
      <c r="O649">
        <v>5120941</v>
      </c>
      <c r="P649">
        <v>27164</v>
      </c>
      <c r="Q649" t="s">
        <v>1434</v>
      </c>
      <c r="R649">
        <v>10109.19</v>
      </c>
      <c r="T649">
        <v>10109.19</v>
      </c>
    </row>
    <row r="650" spans="1:24" x14ac:dyDescent="0.25">
      <c r="A650">
        <f t="shared" ca="1" si="52"/>
        <v>0</v>
      </c>
      <c r="C650">
        <f t="shared" ca="1" si="53"/>
        <v>0</v>
      </c>
      <c r="D650" t="s">
        <v>57</v>
      </c>
      <c r="E650" t="s">
        <v>58</v>
      </c>
      <c r="F650">
        <v>946</v>
      </c>
      <c r="G650" t="s">
        <v>1038</v>
      </c>
      <c r="H650" t="s">
        <v>1435</v>
      </c>
      <c r="I650" t="s">
        <v>44</v>
      </c>
      <c r="J650" t="s">
        <v>57</v>
      </c>
      <c r="K650" t="s">
        <v>61</v>
      </c>
      <c r="L650" t="s">
        <v>1436</v>
      </c>
      <c r="O650">
        <v>5120943</v>
      </c>
      <c r="P650">
        <v>27164</v>
      </c>
      <c r="Q650" t="s">
        <v>1434</v>
      </c>
      <c r="R650">
        <v>14601.51</v>
      </c>
      <c r="T650">
        <v>14601.51</v>
      </c>
    </row>
    <row r="651" spans="1:24" x14ac:dyDescent="0.25">
      <c r="A651">
        <f t="shared" ca="1" si="52"/>
        <v>0</v>
      </c>
      <c r="C651">
        <f t="shared" ca="1" si="53"/>
        <v>0</v>
      </c>
      <c r="D651" t="s">
        <v>35</v>
      </c>
      <c r="E651" t="s">
        <v>245</v>
      </c>
      <c r="F651">
        <v>2232</v>
      </c>
      <c r="G651" t="s">
        <v>771</v>
      </c>
      <c r="H651" t="s">
        <v>1437</v>
      </c>
      <c r="I651" t="s">
        <v>30</v>
      </c>
      <c r="J651" t="s">
        <v>35</v>
      </c>
      <c r="K651" t="s">
        <v>188</v>
      </c>
      <c r="L651" t="s">
        <v>1438</v>
      </c>
      <c r="O651">
        <v>5024458</v>
      </c>
      <c r="P651">
        <v>5359</v>
      </c>
      <c r="Q651" t="s">
        <v>249</v>
      </c>
      <c r="R651">
        <v>2200</v>
      </c>
      <c r="S651">
        <v>2200</v>
      </c>
      <c r="T651">
        <v>0</v>
      </c>
      <c r="U651" t="s">
        <v>34</v>
      </c>
    </row>
    <row r="652" spans="1:24" x14ac:dyDescent="0.25">
      <c r="A652">
        <f t="shared" ca="1" si="52"/>
        <v>0</v>
      </c>
      <c r="C652">
        <f t="shared" ca="1" si="53"/>
        <v>0</v>
      </c>
      <c r="D652" t="s">
        <v>562</v>
      </c>
      <c r="E652" t="s">
        <v>58</v>
      </c>
      <c r="F652">
        <v>462</v>
      </c>
      <c r="G652" t="s">
        <v>426</v>
      </c>
      <c r="H652" t="s">
        <v>1439</v>
      </c>
      <c r="I652" t="s">
        <v>30</v>
      </c>
      <c r="J652" t="s">
        <v>562</v>
      </c>
      <c r="K652" t="s">
        <v>215</v>
      </c>
      <c r="L652" t="s">
        <v>1440</v>
      </c>
      <c r="M652">
        <v>3000</v>
      </c>
      <c r="N652">
        <v>277</v>
      </c>
      <c r="P652">
        <v>1895</v>
      </c>
      <c r="Q652" t="s">
        <v>1441</v>
      </c>
      <c r="R652">
        <v>3155.55</v>
      </c>
      <c r="S652">
        <v>3155.55</v>
      </c>
      <c r="T652">
        <v>0</v>
      </c>
      <c r="X652" t="s">
        <v>1442</v>
      </c>
    </row>
    <row r="653" spans="1:24" x14ac:dyDescent="0.25">
      <c r="A653" t="s">
        <v>1443</v>
      </c>
    </row>
    <row r="654" spans="1:24" x14ac:dyDescent="0.25">
      <c r="A654">
        <f ca="1">+ Cmde</f>
        <v>0</v>
      </c>
      <c r="C654">
        <f ca="1">+ Devis</f>
        <v>0</v>
      </c>
      <c r="D654" t="s">
        <v>26</v>
      </c>
      <c r="E654" t="s">
        <v>58</v>
      </c>
      <c r="F654">
        <v>350</v>
      </c>
      <c r="G654" t="s">
        <v>213</v>
      </c>
      <c r="H654" t="s">
        <v>1444</v>
      </c>
      <c r="I654" t="s">
        <v>30</v>
      </c>
      <c r="J654" t="s">
        <v>26</v>
      </c>
      <c r="K654" t="s">
        <v>215</v>
      </c>
      <c r="L654" t="s">
        <v>1445</v>
      </c>
      <c r="M654">
        <v>17000</v>
      </c>
      <c r="N654">
        <v>250</v>
      </c>
      <c r="O654">
        <v>5037071</v>
      </c>
      <c r="P654">
        <v>1168</v>
      </c>
      <c r="Q654" t="s">
        <v>1160</v>
      </c>
      <c r="R654">
        <v>5112.38</v>
      </c>
      <c r="S654">
        <v>5112.38</v>
      </c>
      <c r="T654">
        <v>0</v>
      </c>
      <c r="U654" t="s">
        <v>34</v>
      </c>
    </row>
    <row r="655" spans="1:24" x14ac:dyDescent="0.25">
      <c r="A655">
        <f ca="1">+ Cmde</f>
        <v>0</v>
      </c>
      <c r="C655">
        <f ca="1">+ Devis</f>
        <v>0</v>
      </c>
      <c r="D655" t="s">
        <v>26</v>
      </c>
      <c r="E655" t="s">
        <v>58</v>
      </c>
      <c r="F655">
        <v>350</v>
      </c>
      <c r="G655" t="s">
        <v>213</v>
      </c>
      <c r="H655" t="s">
        <v>1446</v>
      </c>
      <c r="I655" t="s">
        <v>30</v>
      </c>
      <c r="J655" t="s">
        <v>26</v>
      </c>
      <c r="K655" t="s">
        <v>215</v>
      </c>
      <c r="L655" t="s">
        <v>1447</v>
      </c>
      <c r="M655">
        <v>17000</v>
      </c>
      <c r="N655">
        <v>250</v>
      </c>
      <c r="O655">
        <v>5037067</v>
      </c>
      <c r="P655">
        <v>1168</v>
      </c>
      <c r="Q655" t="s">
        <v>1160</v>
      </c>
      <c r="R655">
        <v>11928.88</v>
      </c>
      <c r="S655">
        <v>11928.88</v>
      </c>
      <c r="T655">
        <v>0</v>
      </c>
      <c r="U655" t="s">
        <v>34</v>
      </c>
      <c r="X655" t="s">
        <v>1448</v>
      </c>
    </row>
    <row r="656" spans="1:24" x14ac:dyDescent="0.25">
      <c r="A656" t="s">
        <v>1449</v>
      </c>
    </row>
    <row r="657" spans="1:24" x14ac:dyDescent="0.25">
      <c r="A657">
        <f t="shared" ref="A657:A691" ca="1" si="54">+ Cmde</f>
        <v>0</v>
      </c>
      <c r="C657">
        <f t="shared" ref="C657:C691" ca="1" si="55">+ Devis</f>
        <v>0</v>
      </c>
      <c r="D657" t="s">
        <v>41</v>
      </c>
      <c r="E657" t="s">
        <v>58</v>
      </c>
      <c r="F657">
        <v>1355</v>
      </c>
      <c r="G657" t="s">
        <v>213</v>
      </c>
      <c r="H657" t="s">
        <v>1450</v>
      </c>
      <c r="I657" t="s">
        <v>44</v>
      </c>
      <c r="J657" t="s">
        <v>41</v>
      </c>
      <c r="K657" t="s">
        <v>215</v>
      </c>
      <c r="L657" t="s">
        <v>1451</v>
      </c>
      <c r="P657">
        <v>6647</v>
      </c>
      <c r="Q657" t="s">
        <v>1452</v>
      </c>
      <c r="R657">
        <v>930.4</v>
      </c>
      <c r="S657">
        <v>930.4</v>
      </c>
      <c r="T657">
        <v>0</v>
      </c>
      <c r="X657" t="s">
        <v>1453</v>
      </c>
    </row>
    <row r="658" spans="1:24" x14ac:dyDescent="0.25">
      <c r="A658">
        <f t="shared" ca="1" si="54"/>
        <v>0</v>
      </c>
      <c r="C658">
        <f t="shared" ca="1" si="55"/>
        <v>0</v>
      </c>
      <c r="D658" t="s">
        <v>35</v>
      </c>
      <c r="E658" t="s">
        <v>445</v>
      </c>
      <c r="F658">
        <v>1427</v>
      </c>
      <c r="G658" t="s">
        <v>508</v>
      </c>
      <c r="H658" t="s">
        <v>1454</v>
      </c>
      <c r="I658" t="s">
        <v>30</v>
      </c>
      <c r="J658" t="s">
        <v>35</v>
      </c>
      <c r="K658" t="s">
        <v>448</v>
      </c>
      <c r="L658" t="s">
        <v>1455</v>
      </c>
      <c r="O658">
        <v>5106694</v>
      </c>
      <c r="P658">
        <v>1</v>
      </c>
      <c r="Q658" t="s">
        <v>636</v>
      </c>
      <c r="R658">
        <v>5850.57</v>
      </c>
      <c r="T658">
        <v>5850.57</v>
      </c>
    </row>
    <row r="659" spans="1:24" x14ac:dyDescent="0.25">
      <c r="A659">
        <f t="shared" ca="1" si="54"/>
        <v>0</v>
      </c>
      <c r="C659">
        <f t="shared" ca="1" si="55"/>
        <v>0</v>
      </c>
      <c r="D659" t="s">
        <v>88</v>
      </c>
      <c r="E659" t="s">
        <v>58</v>
      </c>
      <c r="F659">
        <v>787</v>
      </c>
      <c r="G659" t="s">
        <v>59</v>
      </c>
      <c r="H659" t="s">
        <v>1167</v>
      </c>
      <c r="I659" t="s">
        <v>30</v>
      </c>
      <c r="J659" t="s">
        <v>88</v>
      </c>
      <c r="K659" t="s">
        <v>61</v>
      </c>
      <c r="L659" t="s">
        <v>1456</v>
      </c>
      <c r="M659">
        <v>30000</v>
      </c>
      <c r="N659">
        <v>257</v>
      </c>
      <c r="O659">
        <v>5019887</v>
      </c>
      <c r="P659">
        <v>107</v>
      </c>
      <c r="Q659" t="s">
        <v>1457</v>
      </c>
      <c r="R659">
        <v>13776.4</v>
      </c>
      <c r="S659">
        <v>13776.4</v>
      </c>
      <c r="T659">
        <v>0</v>
      </c>
      <c r="U659" t="s">
        <v>34</v>
      </c>
      <c r="V659" s="1">
        <v>46097</v>
      </c>
      <c r="W659" s="1">
        <v>46142</v>
      </c>
      <c r="X659" t="s">
        <v>296</v>
      </c>
    </row>
    <row r="660" spans="1:24" x14ac:dyDescent="0.25">
      <c r="A660">
        <f t="shared" ca="1" si="54"/>
        <v>0</v>
      </c>
      <c r="C660">
        <f t="shared" ca="1" si="55"/>
        <v>0</v>
      </c>
      <c r="D660" t="s">
        <v>183</v>
      </c>
      <c r="E660" t="s">
        <v>237</v>
      </c>
      <c r="F660">
        <v>77</v>
      </c>
      <c r="G660" t="s">
        <v>618</v>
      </c>
      <c r="H660" t="s">
        <v>1458</v>
      </c>
      <c r="I660" t="s">
        <v>187</v>
      </c>
      <c r="J660" t="s">
        <v>183</v>
      </c>
      <c r="K660" t="s">
        <v>240</v>
      </c>
      <c r="L660" t="s">
        <v>1459</v>
      </c>
      <c r="M660">
        <v>1000</v>
      </c>
      <c r="N660">
        <v>1</v>
      </c>
    </row>
    <row r="661" spans="1:24" x14ac:dyDescent="0.25">
      <c r="A661">
        <f t="shared" ca="1" si="54"/>
        <v>0</v>
      </c>
      <c r="C661">
        <f t="shared" ca="1" si="55"/>
        <v>0</v>
      </c>
      <c r="D661" t="s">
        <v>285</v>
      </c>
      <c r="E661" t="s">
        <v>237</v>
      </c>
      <c r="F661">
        <v>452</v>
      </c>
      <c r="G661" t="s">
        <v>884</v>
      </c>
      <c r="H661" t="s">
        <v>1266</v>
      </c>
      <c r="I661" t="s">
        <v>187</v>
      </c>
      <c r="J661" t="s">
        <v>285</v>
      </c>
      <c r="K661" t="s">
        <v>240</v>
      </c>
      <c r="L661" t="s">
        <v>1460</v>
      </c>
      <c r="M661">
        <v>2500</v>
      </c>
      <c r="N661">
        <v>2</v>
      </c>
      <c r="O661">
        <v>5039457</v>
      </c>
      <c r="P661">
        <v>2219</v>
      </c>
      <c r="Q661" t="s">
        <v>616</v>
      </c>
      <c r="R661">
        <v>0</v>
      </c>
      <c r="T661">
        <v>0</v>
      </c>
    </row>
    <row r="662" spans="1:24" x14ac:dyDescent="0.25">
      <c r="A662">
        <f t="shared" ca="1" si="54"/>
        <v>0</v>
      </c>
      <c r="C662">
        <f t="shared" ca="1" si="55"/>
        <v>0</v>
      </c>
      <c r="D662" t="s">
        <v>285</v>
      </c>
      <c r="E662" t="s">
        <v>237</v>
      </c>
      <c r="F662">
        <v>1013</v>
      </c>
      <c r="G662" t="s">
        <v>884</v>
      </c>
      <c r="H662" t="s">
        <v>1461</v>
      </c>
      <c r="I662" t="s">
        <v>187</v>
      </c>
      <c r="J662" t="s">
        <v>285</v>
      </c>
      <c r="K662" t="s">
        <v>240</v>
      </c>
      <c r="L662" t="s">
        <v>1462</v>
      </c>
      <c r="M662">
        <v>3000</v>
      </c>
      <c r="N662">
        <v>3</v>
      </c>
      <c r="O662">
        <v>5021079</v>
      </c>
      <c r="P662">
        <v>7111</v>
      </c>
      <c r="Q662" t="s">
        <v>754</v>
      </c>
      <c r="R662">
        <v>2379.6</v>
      </c>
      <c r="S662">
        <v>2379.6</v>
      </c>
      <c r="T662">
        <v>0</v>
      </c>
      <c r="U662" t="s">
        <v>34</v>
      </c>
    </row>
    <row r="663" spans="1:24" x14ac:dyDescent="0.25">
      <c r="A663">
        <f t="shared" ca="1" si="54"/>
        <v>0</v>
      </c>
      <c r="C663">
        <f t="shared" ca="1" si="55"/>
        <v>0</v>
      </c>
      <c r="D663" t="s">
        <v>285</v>
      </c>
      <c r="E663" t="s">
        <v>237</v>
      </c>
      <c r="F663">
        <v>426</v>
      </c>
      <c r="G663" t="s">
        <v>584</v>
      </c>
      <c r="H663" t="s">
        <v>1463</v>
      </c>
      <c r="I663" t="s">
        <v>187</v>
      </c>
      <c r="J663" t="s">
        <v>285</v>
      </c>
      <c r="K663" t="s">
        <v>240</v>
      </c>
      <c r="L663" t="s">
        <v>1464</v>
      </c>
      <c r="M663">
        <v>5000</v>
      </c>
      <c r="N663">
        <v>4</v>
      </c>
      <c r="O663">
        <v>5012547</v>
      </c>
      <c r="P663">
        <v>17442</v>
      </c>
      <c r="Q663" t="s">
        <v>913</v>
      </c>
      <c r="R663">
        <v>5172.2</v>
      </c>
      <c r="S663">
        <v>5172.2</v>
      </c>
      <c r="T663">
        <v>0</v>
      </c>
      <c r="U663" t="s">
        <v>34</v>
      </c>
    </row>
    <row r="664" spans="1:24" x14ac:dyDescent="0.25">
      <c r="A664">
        <f t="shared" ca="1" si="54"/>
        <v>0</v>
      </c>
      <c r="C664">
        <f t="shared" ca="1" si="55"/>
        <v>0</v>
      </c>
      <c r="D664" t="s">
        <v>285</v>
      </c>
      <c r="E664" t="s">
        <v>237</v>
      </c>
      <c r="F664">
        <v>1274</v>
      </c>
      <c r="G664" t="s">
        <v>258</v>
      </c>
      <c r="H664" t="s">
        <v>1465</v>
      </c>
      <c r="I664" t="s">
        <v>187</v>
      </c>
      <c r="J664" t="s">
        <v>285</v>
      </c>
      <c r="K664" t="s">
        <v>240</v>
      </c>
      <c r="L664" t="s">
        <v>1466</v>
      </c>
      <c r="M664">
        <v>3000</v>
      </c>
      <c r="N664">
        <v>5</v>
      </c>
      <c r="O664">
        <v>5034971</v>
      </c>
      <c r="P664">
        <v>7111</v>
      </c>
      <c r="Q664" t="s">
        <v>754</v>
      </c>
      <c r="R664">
        <v>2654.4</v>
      </c>
      <c r="S664">
        <v>2654.4</v>
      </c>
      <c r="T664">
        <v>0</v>
      </c>
      <c r="U664" t="s">
        <v>34</v>
      </c>
    </row>
    <row r="665" spans="1:24" x14ac:dyDescent="0.25">
      <c r="A665">
        <f t="shared" ca="1" si="54"/>
        <v>0</v>
      </c>
      <c r="C665">
        <f t="shared" ca="1" si="55"/>
        <v>0</v>
      </c>
      <c r="D665" t="s">
        <v>285</v>
      </c>
      <c r="E665" t="s">
        <v>237</v>
      </c>
      <c r="F665">
        <v>963</v>
      </c>
      <c r="G665" t="s">
        <v>258</v>
      </c>
      <c r="H665" t="s">
        <v>1467</v>
      </c>
      <c r="I665" t="s">
        <v>187</v>
      </c>
      <c r="J665" t="s">
        <v>285</v>
      </c>
      <c r="K665" t="s">
        <v>240</v>
      </c>
      <c r="L665" t="s">
        <v>1468</v>
      </c>
      <c r="M665">
        <v>3000</v>
      </c>
      <c r="N665">
        <v>6</v>
      </c>
      <c r="O665">
        <v>5012484</v>
      </c>
      <c r="P665">
        <v>2450</v>
      </c>
      <c r="Q665" t="s">
        <v>69</v>
      </c>
      <c r="R665">
        <v>2712</v>
      </c>
      <c r="S665">
        <v>2712</v>
      </c>
      <c r="T665">
        <v>0</v>
      </c>
      <c r="U665" t="s">
        <v>34</v>
      </c>
    </row>
    <row r="666" spans="1:24" x14ac:dyDescent="0.25">
      <c r="A666">
        <f t="shared" ca="1" si="54"/>
        <v>0</v>
      </c>
      <c r="C666">
        <f t="shared" ca="1" si="55"/>
        <v>0</v>
      </c>
      <c r="D666" t="s">
        <v>196</v>
      </c>
      <c r="E666" t="s">
        <v>237</v>
      </c>
      <c r="F666">
        <v>63</v>
      </c>
      <c r="G666" t="s">
        <v>238</v>
      </c>
      <c r="H666" t="s">
        <v>1469</v>
      </c>
      <c r="I666" t="s">
        <v>187</v>
      </c>
      <c r="J666" t="s">
        <v>196</v>
      </c>
      <c r="K666" t="s">
        <v>240</v>
      </c>
      <c r="L666" t="s">
        <v>1470</v>
      </c>
      <c r="M666">
        <v>3500</v>
      </c>
      <c r="N666">
        <v>7</v>
      </c>
      <c r="O666">
        <v>5051945</v>
      </c>
      <c r="P666">
        <v>641</v>
      </c>
      <c r="Q666" t="s">
        <v>1347</v>
      </c>
      <c r="R666">
        <v>1188</v>
      </c>
      <c r="S666">
        <v>1188</v>
      </c>
      <c r="T666">
        <v>0</v>
      </c>
      <c r="U666" t="s">
        <v>34</v>
      </c>
    </row>
    <row r="667" spans="1:24" x14ac:dyDescent="0.25">
      <c r="A667">
        <f t="shared" ca="1" si="54"/>
        <v>0</v>
      </c>
      <c r="C667">
        <f t="shared" ca="1" si="55"/>
        <v>0</v>
      </c>
      <c r="D667" t="s">
        <v>368</v>
      </c>
      <c r="E667" t="s">
        <v>237</v>
      </c>
      <c r="F667">
        <v>1076</v>
      </c>
      <c r="G667" t="s">
        <v>887</v>
      </c>
      <c r="H667" t="s">
        <v>1471</v>
      </c>
      <c r="I667" t="s">
        <v>187</v>
      </c>
      <c r="J667" t="s">
        <v>368</v>
      </c>
      <c r="K667" t="s">
        <v>240</v>
      </c>
      <c r="L667" t="s">
        <v>1472</v>
      </c>
      <c r="M667">
        <v>4000</v>
      </c>
      <c r="N667">
        <v>9</v>
      </c>
      <c r="O667">
        <v>5024929</v>
      </c>
      <c r="P667">
        <v>4146</v>
      </c>
      <c r="Q667" t="s">
        <v>91</v>
      </c>
      <c r="R667">
        <v>3666.13</v>
      </c>
      <c r="S667">
        <v>3666.13</v>
      </c>
      <c r="T667">
        <v>0</v>
      </c>
      <c r="U667" t="s">
        <v>34</v>
      </c>
    </row>
    <row r="668" spans="1:24" x14ac:dyDescent="0.25">
      <c r="A668">
        <f t="shared" ca="1" si="54"/>
        <v>0</v>
      </c>
      <c r="C668">
        <f t="shared" ca="1" si="55"/>
        <v>0</v>
      </c>
      <c r="D668" t="s">
        <v>285</v>
      </c>
      <c r="E668" t="s">
        <v>237</v>
      </c>
      <c r="F668">
        <v>344</v>
      </c>
      <c r="G668" t="s">
        <v>887</v>
      </c>
      <c r="H668" t="s">
        <v>1473</v>
      </c>
      <c r="I668" t="s">
        <v>187</v>
      </c>
      <c r="J668" t="s">
        <v>285</v>
      </c>
      <c r="K668" t="s">
        <v>240</v>
      </c>
      <c r="L668" t="s">
        <v>1474</v>
      </c>
      <c r="M668">
        <v>5000</v>
      </c>
      <c r="N668">
        <v>10</v>
      </c>
      <c r="O668">
        <v>5025018</v>
      </c>
      <c r="P668">
        <v>7669</v>
      </c>
      <c r="Q668" t="s">
        <v>261</v>
      </c>
      <c r="R668">
        <v>5374</v>
      </c>
      <c r="S668">
        <v>5374</v>
      </c>
      <c r="T668">
        <v>0</v>
      </c>
      <c r="U668" t="s">
        <v>34</v>
      </c>
    </row>
    <row r="669" spans="1:24" x14ac:dyDescent="0.25">
      <c r="A669">
        <f t="shared" ca="1" si="54"/>
        <v>0</v>
      </c>
      <c r="C669">
        <f t="shared" ca="1" si="55"/>
        <v>0</v>
      </c>
      <c r="D669" t="s">
        <v>285</v>
      </c>
      <c r="E669" t="s">
        <v>237</v>
      </c>
      <c r="F669">
        <v>1335</v>
      </c>
      <c r="G669" t="s">
        <v>887</v>
      </c>
      <c r="H669" t="s">
        <v>1475</v>
      </c>
      <c r="I669" t="s">
        <v>187</v>
      </c>
      <c r="J669" t="s">
        <v>285</v>
      </c>
      <c r="K669" t="s">
        <v>240</v>
      </c>
      <c r="L669" t="s">
        <v>1476</v>
      </c>
      <c r="M669">
        <v>4500</v>
      </c>
      <c r="N669">
        <v>11</v>
      </c>
    </row>
    <row r="670" spans="1:24" x14ac:dyDescent="0.25">
      <c r="A670">
        <f t="shared" ca="1" si="54"/>
        <v>0</v>
      </c>
      <c r="C670">
        <f t="shared" ca="1" si="55"/>
        <v>0</v>
      </c>
      <c r="D670" t="s">
        <v>196</v>
      </c>
      <c r="E670" t="s">
        <v>237</v>
      </c>
      <c r="F670">
        <v>75</v>
      </c>
      <c r="G670" t="s">
        <v>258</v>
      </c>
      <c r="H670" t="s">
        <v>1477</v>
      </c>
      <c r="I670" t="s">
        <v>187</v>
      </c>
      <c r="J670" t="s">
        <v>196</v>
      </c>
      <c r="K670" t="s">
        <v>240</v>
      </c>
      <c r="L670" t="s">
        <v>1478</v>
      </c>
      <c r="M670">
        <v>4000</v>
      </c>
      <c r="N670">
        <v>12</v>
      </c>
      <c r="O670">
        <v>5034966</v>
      </c>
      <c r="P670">
        <v>7111</v>
      </c>
      <c r="Q670" t="s">
        <v>754</v>
      </c>
      <c r="R670">
        <v>1560</v>
      </c>
      <c r="S670">
        <v>1560</v>
      </c>
      <c r="T670">
        <v>0</v>
      </c>
      <c r="U670" t="s">
        <v>34</v>
      </c>
    </row>
    <row r="671" spans="1:24" x14ac:dyDescent="0.25">
      <c r="A671">
        <f t="shared" ca="1" si="54"/>
        <v>0</v>
      </c>
      <c r="C671">
        <f t="shared" ca="1" si="55"/>
        <v>0</v>
      </c>
      <c r="D671" t="s">
        <v>183</v>
      </c>
      <c r="E671" t="s">
        <v>237</v>
      </c>
      <c r="F671">
        <v>67</v>
      </c>
      <c r="G671" t="s">
        <v>258</v>
      </c>
      <c r="H671" t="s">
        <v>1479</v>
      </c>
      <c r="I671" t="s">
        <v>187</v>
      </c>
      <c r="J671" t="s">
        <v>183</v>
      </c>
      <c r="K671" t="s">
        <v>240</v>
      </c>
      <c r="L671" t="s">
        <v>1480</v>
      </c>
      <c r="M671">
        <v>5000</v>
      </c>
      <c r="N671">
        <v>13</v>
      </c>
      <c r="U671" t="s">
        <v>34</v>
      </c>
      <c r="X671" t="s">
        <v>1481</v>
      </c>
    </row>
    <row r="672" spans="1:24" x14ac:dyDescent="0.25">
      <c r="A672">
        <f t="shared" ca="1" si="54"/>
        <v>0</v>
      </c>
      <c r="C672">
        <f t="shared" ca="1" si="55"/>
        <v>0</v>
      </c>
      <c r="D672" t="s">
        <v>183</v>
      </c>
      <c r="E672" t="s">
        <v>237</v>
      </c>
      <c r="F672">
        <v>308</v>
      </c>
      <c r="G672" t="s">
        <v>584</v>
      </c>
      <c r="H672" t="s">
        <v>1482</v>
      </c>
      <c r="I672" t="s">
        <v>187</v>
      </c>
      <c r="J672" t="s">
        <v>183</v>
      </c>
      <c r="K672" t="s">
        <v>240</v>
      </c>
      <c r="L672" t="s">
        <v>1483</v>
      </c>
      <c r="M672">
        <v>6000</v>
      </c>
      <c r="N672">
        <v>14</v>
      </c>
      <c r="O672">
        <v>5025011</v>
      </c>
      <c r="P672">
        <v>17442</v>
      </c>
      <c r="Q672" t="s">
        <v>913</v>
      </c>
      <c r="R672">
        <v>5335</v>
      </c>
      <c r="T672">
        <v>5335</v>
      </c>
    </row>
    <row r="673" spans="1:24" x14ac:dyDescent="0.25">
      <c r="A673">
        <f t="shared" ca="1" si="54"/>
        <v>0</v>
      </c>
      <c r="C673">
        <f t="shared" ca="1" si="55"/>
        <v>0</v>
      </c>
      <c r="D673" t="s">
        <v>196</v>
      </c>
      <c r="E673" t="s">
        <v>237</v>
      </c>
      <c r="F673">
        <v>140</v>
      </c>
      <c r="G673" t="s">
        <v>884</v>
      </c>
      <c r="H673" t="s">
        <v>1484</v>
      </c>
      <c r="I673" t="s">
        <v>187</v>
      </c>
      <c r="J673" t="s">
        <v>196</v>
      </c>
      <c r="K673" t="s">
        <v>240</v>
      </c>
      <c r="L673" t="s">
        <v>1485</v>
      </c>
      <c r="M673">
        <v>7000</v>
      </c>
      <c r="N673">
        <v>15</v>
      </c>
      <c r="O673">
        <v>5014712</v>
      </c>
      <c r="P673">
        <v>942</v>
      </c>
      <c r="Q673" t="s">
        <v>1486</v>
      </c>
      <c r="R673">
        <v>6237</v>
      </c>
      <c r="S673">
        <v>6237</v>
      </c>
      <c r="T673">
        <v>0</v>
      </c>
      <c r="U673" t="s">
        <v>34</v>
      </c>
    </row>
    <row r="674" spans="1:24" x14ac:dyDescent="0.25">
      <c r="A674">
        <f t="shared" ca="1" si="54"/>
        <v>0</v>
      </c>
      <c r="C674">
        <f t="shared" ca="1" si="55"/>
        <v>0</v>
      </c>
      <c r="D674" t="s">
        <v>196</v>
      </c>
      <c r="E674" t="s">
        <v>237</v>
      </c>
      <c r="F674">
        <v>354</v>
      </c>
      <c r="G674" t="s">
        <v>584</v>
      </c>
      <c r="H674" t="s">
        <v>1011</v>
      </c>
      <c r="I674" t="s">
        <v>187</v>
      </c>
      <c r="J674" t="s">
        <v>196</v>
      </c>
      <c r="K674" t="s">
        <v>240</v>
      </c>
      <c r="L674" t="s">
        <v>1487</v>
      </c>
      <c r="M674">
        <v>7000</v>
      </c>
      <c r="N674">
        <v>16</v>
      </c>
      <c r="O674">
        <v>5058972</v>
      </c>
      <c r="P674">
        <v>6985</v>
      </c>
      <c r="Q674" t="s">
        <v>587</v>
      </c>
      <c r="R674">
        <v>3781.62</v>
      </c>
      <c r="S674">
        <v>3781.62</v>
      </c>
      <c r="T674">
        <v>0</v>
      </c>
      <c r="U674" t="s">
        <v>34</v>
      </c>
    </row>
    <row r="675" spans="1:24" x14ac:dyDescent="0.25">
      <c r="A675">
        <f t="shared" ca="1" si="54"/>
        <v>0</v>
      </c>
      <c r="C675">
        <f t="shared" ca="1" si="55"/>
        <v>0</v>
      </c>
      <c r="D675" t="s">
        <v>196</v>
      </c>
      <c r="E675" t="s">
        <v>237</v>
      </c>
      <c r="F675">
        <v>30</v>
      </c>
      <c r="G675" t="s">
        <v>258</v>
      </c>
      <c r="H675" t="s">
        <v>1488</v>
      </c>
      <c r="I675" t="s">
        <v>187</v>
      </c>
      <c r="J675" t="s">
        <v>196</v>
      </c>
      <c r="K675" t="s">
        <v>240</v>
      </c>
      <c r="L675" t="s">
        <v>1489</v>
      </c>
      <c r="M675">
        <v>7000</v>
      </c>
      <c r="N675">
        <v>17</v>
      </c>
      <c r="O675">
        <v>5012481</v>
      </c>
      <c r="P675">
        <v>641</v>
      </c>
      <c r="Q675" t="s">
        <v>1347</v>
      </c>
      <c r="R675">
        <v>7260</v>
      </c>
      <c r="S675">
        <v>6270</v>
      </c>
      <c r="T675">
        <v>990</v>
      </c>
    </row>
    <row r="676" spans="1:24" x14ac:dyDescent="0.25">
      <c r="A676">
        <f t="shared" ca="1" si="54"/>
        <v>0</v>
      </c>
      <c r="C676">
        <f t="shared" ca="1" si="55"/>
        <v>0</v>
      </c>
      <c r="D676" t="s">
        <v>183</v>
      </c>
      <c r="E676" t="s">
        <v>237</v>
      </c>
      <c r="F676">
        <v>67</v>
      </c>
      <c r="G676" t="s">
        <v>258</v>
      </c>
      <c r="H676" t="s">
        <v>1490</v>
      </c>
      <c r="I676" t="s">
        <v>187</v>
      </c>
      <c r="J676" t="s">
        <v>183</v>
      </c>
      <c r="K676" t="s">
        <v>240</v>
      </c>
      <c r="L676" t="s">
        <v>1491</v>
      </c>
      <c r="M676">
        <v>5000</v>
      </c>
      <c r="N676">
        <v>18</v>
      </c>
      <c r="O676">
        <v>5044773</v>
      </c>
      <c r="P676">
        <v>17442</v>
      </c>
      <c r="Q676" t="s">
        <v>913</v>
      </c>
      <c r="R676">
        <v>7592.31</v>
      </c>
      <c r="S676">
        <v>7592.31</v>
      </c>
      <c r="T676">
        <v>0</v>
      </c>
      <c r="U676" t="s">
        <v>34</v>
      </c>
    </row>
    <row r="677" spans="1:24" x14ac:dyDescent="0.25">
      <c r="A677">
        <f t="shared" ca="1" si="54"/>
        <v>0</v>
      </c>
      <c r="C677">
        <f t="shared" ca="1" si="55"/>
        <v>0</v>
      </c>
      <c r="D677" t="s">
        <v>285</v>
      </c>
      <c r="E677" t="s">
        <v>237</v>
      </c>
      <c r="F677">
        <v>61</v>
      </c>
      <c r="G677" t="s">
        <v>887</v>
      </c>
      <c r="H677" t="s">
        <v>1492</v>
      </c>
      <c r="I677" t="s">
        <v>187</v>
      </c>
      <c r="J677" t="s">
        <v>285</v>
      </c>
      <c r="K677" t="s">
        <v>240</v>
      </c>
      <c r="L677" t="s">
        <v>1493</v>
      </c>
      <c r="M677">
        <v>10000</v>
      </c>
      <c r="N677">
        <v>19</v>
      </c>
      <c r="X677" t="s">
        <v>1494</v>
      </c>
    </row>
    <row r="678" spans="1:24" x14ac:dyDescent="0.25">
      <c r="A678">
        <f t="shared" ca="1" si="54"/>
        <v>0</v>
      </c>
      <c r="C678">
        <f t="shared" ca="1" si="55"/>
        <v>0</v>
      </c>
      <c r="D678" t="s">
        <v>196</v>
      </c>
      <c r="E678" t="s">
        <v>237</v>
      </c>
      <c r="F678">
        <v>122</v>
      </c>
      <c r="G678" t="s">
        <v>887</v>
      </c>
      <c r="H678" t="s">
        <v>1495</v>
      </c>
      <c r="I678" t="s">
        <v>187</v>
      </c>
      <c r="J678" t="s">
        <v>196</v>
      </c>
      <c r="K678" t="s">
        <v>240</v>
      </c>
      <c r="L678" t="s">
        <v>1496</v>
      </c>
      <c r="M678">
        <v>2000</v>
      </c>
      <c r="N678">
        <v>20</v>
      </c>
      <c r="O678">
        <v>5024941</v>
      </c>
      <c r="P678">
        <v>81</v>
      </c>
      <c r="Q678" t="s">
        <v>102</v>
      </c>
      <c r="R678">
        <v>1728.19</v>
      </c>
      <c r="S678">
        <v>1728.19</v>
      </c>
      <c r="T678">
        <v>0</v>
      </c>
      <c r="U678" t="s">
        <v>34</v>
      </c>
    </row>
    <row r="679" spans="1:24" x14ac:dyDescent="0.25">
      <c r="A679">
        <f t="shared" ca="1" si="54"/>
        <v>0</v>
      </c>
      <c r="C679">
        <f t="shared" ca="1" si="55"/>
        <v>0</v>
      </c>
      <c r="D679" t="s">
        <v>285</v>
      </c>
      <c r="E679" t="s">
        <v>237</v>
      </c>
      <c r="F679">
        <v>40</v>
      </c>
      <c r="G679" t="s">
        <v>584</v>
      </c>
      <c r="H679" t="s">
        <v>1497</v>
      </c>
      <c r="I679" t="s">
        <v>187</v>
      </c>
      <c r="J679" t="s">
        <v>285</v>
      </c>
      <c r="K679" t="s">
        <v>240</v>
      </c>
      <c r="L679" t="s">
        <v>674</v>
      </c>
      <c r="M679">
        <v>2000</v>
      </c>
      <c r="N679">
        <v>21</v>
      </c>
      <c r="O679">
        <v>5024933</v>
      </c>
      <c r="P679">
        <v>7669</v>
      </c>
      <c r="Q679" t="s">
        <v>261</v>
      </c>
      <c r="R679">
        <v>1899.44</v>
      </c>
      <c r="T679">
        <v>1899.44</v>
      </c>
    </row>
    <row r="680" spans="1:24" x14ac:dyDescent="0.25">
      <c r="A680">
        <f t="shared" ca="1" si="54"/>
        <v>0</v>
      </c>
      <c r="C680">
        <f t="shared" ca="1" si="55"/>
        <v>0</v>
      </c>
      <c r="D680" t="s">
        <v>285</v>
      </c>
      <c r="E680" t="s">
        <v>237</v>
      </c>
      <c r="F680">
        <v>441</v>
      </c>
      <c r="G680" t="s">
        <v>884</v>
      </c>
      <c r="H680" t="s">
        <v>1498</v>
      </c>
      <c r="I680" t="s">
        <v>187</v>
      </c>
      <c r="J680" t="s">
        <v>285</v>
      </c>
      <c r="K680" t="s">
        <v>240</v>
      </c>
      <c r="L680" t="s">
        <v>1499</v>
      </c>
      <c r="M680">
        <v>2000</v>
      </c>
      <c r="N680">
        <v>22</v>
      </c>
      <c r="O680">
        <v>5033654</v>
      </c>
      <c r="P680">
        <v>7431</v>
      </c>
      <c r="Q680" t="s">
        <v>121</v>
      </c>
      <c r="R680">
        <v>1621.3</v>
      </c>
      <c r="T680">
        <v>1621.3</v>
      </c>
    </row>
    <row r="681" spans="1:24" x14ac:dyDescent="0.25">
      <c r="A681">
        <f t="shared" ca="1" si="54"/>
        <v>0</v>
      </c>
      <c r="C681">
        <f t="shared" ca="1" si="55"/>
        <v>0</v>
      </c>
      <c r="D681" t="s">
        <v>196</v>
      </c>
      <c r="E681" t="s">
        <v>237</v>
      </c>
      <c r="F681">
        <v>399</v>
      </c>
      <c r="G681" t="s">
        <v>584</v>
      </c>
      <c r="H681" t="s">
        <v>585</v>
      </c>
      <c r="I681" t="s">
        <v>187</v>
      </c>
      <c r="J681" t="s">
        <v>196</v>
      </c>
      <c r="K681" t="s">
        <v>240</v>
      </c>
      <c r="L681" t="s">
        <v>1500</v>
      </c>
      <c r="M681">
        <v>4000</v>
      </c>
      <c r="N681">
        <v>23</v>
      </c>
      <c r="O681">
        <v>5021358</v>
      </c>
      <c r="P681">
        <v>6985</v>
      </c>
      <c r="Q681" t="s">
        <v>587</v>
      </c>
    </row>
    <row r="682" spans="1:24" x14ac:dyDescent="0.25">
      <c r="A682">
        <f t="shared" ca="1" si="54"/>
        <v>0</v>
      </c>
      <c r="C682">
        <f t="shared" ca="1" si="55"/>
        <v>0</v>
      </c>
      <c r="D682" t="s">
        <v>196</v>
      </c>
      <c r="E682" t="s">
        <v>237</v>
      </c>
      <c r="F682">
        <v>672</v>
      </c>
      <c r="G682" t="s">
        <v>258</v>
      </c>
      <c r="H682" t="s">
        <v>1501</v>
      </c>
      <c r="I682" t="s">
        <v>187</v>
      </c>
      <c r="J682" t="s">
        <v>196</v>
      </c>
      <c r="K682" t="s">
        <v>240</v>
      </c>
      <c r="L682" t="s">
        <v>1502</v>
      </c>
      <c r="M682">
        <v>2500</v>
      </c>
      <c r="N682">
        <v>24</v>
      </c>
      <c r="O682">
        <v>5021084</v>
      </c>
      <c r="P682">
        <v>7111</v>
      </c>
      <c r="Q682" t="s">
        <v>754</v>
      </c>
      <c r="R682">
        <v>2385.6</v>
      </c>
      <c r="S682">
        <v>2385.6</v>
      </c>
      <c r="T682">
        <v>0</v>
      </c>
      <c r="U682" t="s">
        <v>34</v>
      </c>
    </row>
    <row r="683" spans="1:24" x14ac:dyDescent="0.25">
      <c r="A683">
        <f t="shared" ca="1" si="54"/>
        <v>0</v>
      </c>
      <c r="C683">
        <f t="shared" ca="1" si="55"/>
        <v>0</v>
      </c>
      <c r="D683" t="s">
        <v>183</v>
      </c>
      <c r="E683" t="s">
        <v>237</v>
      </c>
      <c r="F683">
        <v>724</v>
      </c>
      <c r="G683" t="s">
        <v>618</v>
      </c>
      <c r="H683" t="s">
        <v>1503</v>
      </c>
      <c r="I683" t="s">
        <v>187</v>
      </c>
      <c r="J683" t="s">
        <v>183</v>
      </c>
      <c r="K683" t="s">
        <v>240</v>
      </c>
      <c r="L683" t="s">
        <v>1504</v>
      </c>
      <c r="M683">
        <v>7500</v>
      </c>
      <c r="N683">
        <v>25</v>
      </c>
      <c r="O683">
        <v>5028325</v>
      </c>
      <c r="P683">
        <v>17442</v>
      </c>
      <c r="Q683" t="s">
        <v>913</v>
      </c>
      <c r="R683">
        <v>1364</v>
      </c>
      <c r="S683">
        <v>1364</v>
      </c>
      <c r="T683">
        <v>0</v>
      </c>
      <c r="U683" t="s">
        <v>34</v>
      </c>
    </row>
    <row r="684" spans="1:24" x14ac:dyDescent="0.25">
      <c r="A684">
        <f t="shared" ca="1" si="54"/>
        <v>0</v>
      </c>
      <c r="C684">
        <f t="shared" ca="1" si="55"/>
        <v>0</v>
      </c>
      <c r="D684" t="s">
        <v>196</v>
      </c>
      <c r="E684" t="s">
        <v>237</v>
      </c>
      <c r="F684">
        <v>363</v>
      </c>
      <c r="G684" t="s">
        <v>238</v>
      </c>
      <c r="H684" t="s">
        <v>1505</v>
      </c>
      <c r="I684" t="s">
        <v>187</v>
      </c>
      <c r="J684" t="s">
        <v>196</v>
      </c>
      <c r="K684" t="s">
        <v>240</v>
      </c>
      <c r="L684" t="s">
        <v>1506</v>
      </c>
      <c r="M684">
        <v>11000</v>
      </c>
      <c r="N684">
        <v>27</v>
      </c>
      <c r="X684" t="s">
        <v>212</v>
      </c>
    </row>
    <row r="685" spans="1:24" x14ac:dyDescent="0.25">
      <c r="A685">
        <f t="shared" ca="1" si="54"/>
        <v>0</v>
      </c>
      <c r="C685">
        <f t="shared" ca="1" si="55"/>
        <v>0</v>
      </c>
      <c r="D685" t="s">
        <v>285</v>
      </c>
      <c r="E685" t="s">
        <v>237</v>
      </c>
      <c r="F685">
        <v>1335</v>
      </c>
      <c r="G685" t="s">
        <v>887</v>
      </c>
      <c r="H685" t="s">
        <v>1475</v>
      </c>
      <c r="I685" t="s">
        <v>187</v>
      </c>
      <c r="J685" t="s">
        <v>285</v>
      </c>
      <c r="K685" t="s">
        <v>240</v>
      </c>
      <c r="L685" t="s">
        <v>1507</v>
      </c>
      <c r="M685">
        <v>4500</v>
      </c>
      <c r="N685">
        <v>28</v>
      </c>
    </row>
    <row r="686" spans="1:24" x14ac:dyDescent="0.25">
      <c r="A686">
        <f t="shared" ca="1" si="54"/>
        <v>0</v>
      </c>
      <c r="C686">
        <f t="shared" ca="1" si="55"/>
        <v>0</v>
      </c>
      <c r="D686" t="s">
        <v>285</v>
      </c>
      <c r="E686" t="s">
        <v>237</v>
      </c>
      <c r="F686">
        <v>322</v>
      </c>
      <c r="G686" t="s">
        <v>584</v>
      </c>
      <c r="H686" t="s">
        <v>1508</v>
      </c>
      <c r="I686" t="s">
        <v>187</v>
      </c>
      <c r="J686" t="s">
        <v>285</v>
      </c>
      <c r="K686" t="s">
        <v>240</v>
      </c>
      <c r="L686" t="s">
        <v>1509</v>
      </c>
      <c r="M686">
        <v>4000</v>
      </c>
      <c r="N686">
        <v>29</v>
      </c>
      <c r="O686">
        <v>5082834</v>
      </c>
      <c r="P686">
        <v>7111</v>
      </c>
      <c r="Q686" t="s">
        <v>754</v>
      </c>
      <c r="R686">
        <v>4864.8</v>
      </c>
      <c r="S686">
        <v>4864.8</v>
      </c>
      <c r="T686">
        <v>0</v>
      </c>
      <c r="U686" t="s">
        <v>34</v>
      </c>
    </row>
    <row r="687" spans="1:24" x14ac:dyDescent="0.25">
      <c r="A687">
        <f t="shared" ca="1" si="54"/>
        <v>0</v>
      </c>
      <c r="C687">
        <f t="shared" ca="1" si="55"/>
        <v>0</v>
      </c>
      <c r="D687" t="s">
        <v>183</v>
      </c>
      <c r="E687" t="s">
        <v>237</v>
      </c>
      <c r="F687">
        <v>322</v>
      </c>
      <c r="G687" t="s">
        <v>584</v>
      </c>
      <c r="H687" t="s">
        <v>1508</v>
      </c>
      <c r="I687" t="s">
        <v>187</v>
      </c>
      <c r="J687" t="s">
        <v>183</v>
      </c>
      <c r="K687" t="s">
        <v>240</v>
      </c>
      <c r="L687" t="s">
        <v>1510</v>
      </c>
      <c r="M687">
        <v>26000</v>
      </c>
      <c r="N687">
        <v>30</v>
      </c>
      <c r="O687">
        <v>5012478</v>
      </c>
      <c r="P687">
        <v>17442</v>
      </c>
      <c r="Q687" t="s">
        <v>913</v>
      </c>
      <c r="R687">
        <v>25258.75</v>
      </c>
      <c r="S687">
        <v>25258.75</v>
      </c>
      <c r="T687">
        <v>0</v>
      </c>
      <c r="U687" t="s">
        <v>34</v>
      </c>
    </row>
    <row r="688" spans="1:24" x14ac:dyDescent="0.25">
      <c r="A688">
        <f t="shared" ca="1" si="54"/>
        <v>0</v>
      </c>
      <c r="C688">
        <f t="shared" ca="1" si="55"/>
        <v>0</v>
      </c>
      <c r="D688" t="s">
        <v>236</v>
      </c>
      <c r="E688" t="s">
        <v>237</v>
      </c>
      <c r="F688">
        <v>37</v>
      </c>
      <c r="G688" t="s">
        <v>884</v>
      </c>
      <c r="H688" t="s">
        <v>1511</v>
      </c>
      <c r="I688" t="s">
        <v>44</v>
      </c>
      <c r="J688" t="s">
        <v>236</v>
      </c>
      <c r="K688" t="s">
        <v>240</v>
      </c>
      <c r="L688" t="s">
        <v>1512</v>
      </c>
      <c r="M688">
        <v>5000</v>
      </c>
      <c r="N688">
        <v>31</v>
      </c>
      <c r="O688">
        <v>5012543</v>
      </c>
      <c r="P688">
        <v>8306</v>
      </c>
      <c r="Q688" t="s">
        <v>583</v>
      </c>
      <c r="R688">
        <v>1296.9000000000001</v>
      </c>
      <c r="S688">
        <v>1296.9000000000001</v>
      </c>
      <c r="T688">
        <v>0</v>
      </c>
      <c r="U688" t="s">
        <v>34</v>
      </c>
    </row>
    <row r="689" spans="1:24" x14ac:dyDescent="0.25">
      <c r="A689">
        <f t="shared" ca="1" si="54"/>
        <v>0</v>
      </c>
      <c r="C689">
        <f t="shared" ca="1" si="55"/>
        <v>0</v>
      </c>
      <c r="D689" t="s">
        <v>41</v>
      </c>
      <c r="E689" t="s">
        <v>237</v>
      </c>
      <c r="F689">
        <v>144</v>
      </c>
      <c r="G689" t="s">
        <v>887</v>
      </c>
      <c r="H689" t="s">
        <v>1513</v>
      </c>
      <c r="I689" t="s">
        <v>44</v>
      </c>
      <c r="J689" t="s">
        <v>41</v>
      </c>
      <c r="K689" t="s">
        <v>240</v>
      </c>
      <c r="L689" t="s">
        <v>1514</v>
      </c>
      <c r="M689">
        <v>5500</v>
      </c>
      <c r="N689">
        <v>32</v>
      </c>
      <c r="O689">
        <v>5044941</v>
      </c>
      <c r="P689">
        <v>14203</v>
      </c>
      <c r="Q689" t="s">
        <v>1189</v>
      </c>
      <c r="R689">
        <v>2358.6799999999998</v>
      </c>
      <c r="T689">
        <v>2358.6799999999998</v>
      </c>
    </row>
    <row r="690" spans="1:24" x14ac:dyDescent="0.25">
      <c r="A690">
        <f t="shared" ca="1" si="54"/>
        <v>0</v>
      </c>
      <c r="C690">
        <f t="shared" ca="1" si="55"/>
        <v>0</v>
      </c>
      <c r="D690" t="s">
        <v>236</v>
      </c>
      <c r="E690" t="s">
        <v>237</v>
      </c>
      <c r="F690">
        <v>388</v>
      </c>
      <c r="G690" t="s">
        <v>907</v>
      </c>
      <c r="H690" t="s">
        <v>1515</v>
      </c>
      <c r="I690" t="s">
        <v>44</v>
      </c>
      <c r="J690" t="s">
        <v>236</v>
      </c>
      <c r="K690" t="s">
        <v>240</v>
      </c>
      <c r="L690" t="s">
        <v>1516</v>
      </c>
      <c r="M690">
        <v>6000</v>
      </c>
      <c r="N690">
        <v>33</v>
      </c>
      <c r="O690">
        <v>5103058</v>
      </c>
      <c r="P690">
        <v>13182</v>
      </c>
      <c r="Q690" t="s">
        <v>910</v>
      </c>
      <c r="R690">
        <v>5709.6</v>
      </c>
      <c r="T690">
        <v>5709.6</v>
      </c>
    </row>
    <row r="691" spans="1:24" x14ac:dyDescent="0.25">
      <c r="A691">
        <f t="shared" ca="1" si="54"/>
        <v>0</v>
      </c>
      <c r="C691">
        <f t="shared" ca="1" si="55"/>
        <v>0</v>
      </c>
      <c r="D691" t="s">
        <v>236</v>
      </c>
      <c r="E691" t="s">
        <v>237</v>
      </c>
      <c r="F691">
        <v>1274</v>
      </c>
      <c r="G691" t="s">
        <v>258</v>
      </c>
      <c r="H691" t="s">
        <v>1517</v>
      </c>
      <c r="I691" t="s">
        <v>44</v>
      </c>
      <c r="J691" t="s">
        <v>236</v>
      </c>
      <c r="K691" t="s">
        <v>240</v>
      </c>
      <c r="L691" t="s">
        <v>1518</v>
      </c>
      <c r="M691">
        <v>6000</v>
      </c>
      <c r="N691">
        <v>35</v>
      </c>
      <c r="O691">
        <v>5099206</v>
      </c>
      <c r="P691">
        <v>8306</v>
      </c>
      <c r="Q691" t="s">
        <v>583</v>
      </c>
      <c r="R691">
        <v>726</v>
      </c>
      <c r="T691">
        <v>726</v>
      </c>
      <c r="X691" t="s">
        <v>1519</v>
      </c>
    </row>
    <row r="692" spans="1:24" x14ac:dyDescent="0.25">
      <c r="A692" t="s">
        <v>1520</v>
      </c>
    </row>
    <row r="693" spans="1:24" x14ac:dyDescent="0.25">
      <c r="A693">
        <f t="shared" ref="A693:A717" ca="1" si="56">+ Cmde</f>
        <v>0</v>
      </c>
      <c r="C693">
        <f t="shared" ref="C693:C717" ca="1" si="57">+ Devis</f>
        <v>0</v>
      </c>
      <c r="D693" t="s">
        <v>41</v>
      </c>
      <c r="E693" t="s">
        <v>237</v>
      </c>
      <c r="F693">
        <v>602</v>
      </c>
      <c r="G693" t="s">
        <v>907</v>
      </c>
      <c r="H693" t="s">
        <v>1521</v>
      </c>
      <c r="I693" t="s">
        <v>44</v>
      </c>
      <c r="J693" t="s">
        <v>41</v>
      </c>
      <c r="K693" t="s">
        <v>240</v>
      </c>
      <c r="L693" t="s">
        <v>1522</v>
      </c>
      <c r="M693">
        <v>6000</v>
      </c>
      <c r="N693">
        <v>36</v>
      </c>
      <c r="O693">
        <v>5040190</v>
      </c>
      <c r="P693">
        <v>5978</v>
      </c>
      <c r="Q693" t="s">
        <v>54</v>
      </c>
      <c r="R693">
        <v>8091.85</v>
      </c>
      <c r="S693">
        <v>8091.85</v>
      </c>
      <c r="T693">
        <v>0</v>
      </c>
      <c r="U693" t="s">
        <v>34</v>
      </c>
    </row>
    <row r="694" spans="1:24" x14ac:dyDescent="0.25">
      <c r="A694">
        <f t="shared" ca="1" si="56"/>
        <v>0</v>
      </c>
      <c r="C694">
        <f t="shared" ca="1" si="57"/>
        <v>0</v>
      </c>
      <c r="D694" t="s">
        <v>236</v>
      </c>
      <c r="E694" t="s">
        <v>237</v>
      </c>
      <c r="F694">
        <v>101</v>
      </c>
      <c r="G694" t="s">
        <v>580</v>
      </c>
      <c r="H694" t="s">
        <v>1523</v>
      </c>
      <c r="I694" t="s">
        <v>44</v>
      </c>
      <c r="J694" t="s">
        <v>236</v>
      </c>
      <c r="K694" t="s">
        <v>240</v>
      </c>
      <c r="L694" t="s">
        <v>1524</v>
      </c>
      <c r="M694">
        <v>2000</v>
      </c>
      <c r="N694">
        <v>37</v>
      </c>
      <c r="O694">
        <v>5012550</v>
      </c>
      <c r="P694">
        <v>8306</v>
      </c>
      <c r="Q694" t="s">
        <v>583</v>
      </c>
      <c r="R694">
        <v>1956.35</v>
      </c>
      <c r="S694">
        <v>1956.35</v>
      </c>
      <c r="T694">
        <v>0</v>
      </c>
      <c r="U694" t="s">
        <v>34</v>
      </c>
    </row>
    <row r="695" spans="1:24" x14ac:dyDescent="0.25">
      <c r="A695">
        <f t="shared" ca="1" si="56"/>
        <v>0</v>
      </c>
      <c r="C695">
        <f t="shared" ca="1" si="57"/>
        <v>0</v>
      </c>
      <c r="D695" t="s">
        <v>236</v>
      </c>
      <c r="E695" t="s">
        <v>237</v>
      </c>
      <c r="F695">
        <v>2063</v>
      </c>
      <c r="G695" t="s">
        <v>907</v>
      </c>
      <c r="H695" t="s">
        <v>1525</v>
      </c>
      <c r="I695" t="s">
        <v>44</v>
      </c>
      <c r="J695" t="s">
        <v>236</v>
      </c>
      <c r="K695" t="s">
        <v>240</v>
      </c>
      <c r="L695" t="s">
        <v>1526</v>
      </c>
      <c r="M695">
        <v>2000</v>
      </c>
      <c r="N695">
        <v>39</v>
      </c>
      <c r="P695">
        <v>5940</v>
      </c>
      <c r="Q695" t="s">
        <v>1527</v>
      </c>
      <c r="R695">
        <v>1898.6</v>
      </c>
      <c r="S695">
        <v>1898.6</v>
      </c>
      <c r="T695">
        <v>0</v>
      </c>
      <c r="U695" t="s">
        <v>34</v>
      </c>
    </row>
    <row r="696" spans="1:24" x14ac:dyDescent="0.25">
      <c r="A696">
        <f t="shared" ca="1" si="56"/>
        <v>0</v>
      </c>
      <c r="C696">
        <f t="shared" ca="1" si="57"/>
        <v>0</v>
      </c>
      <c r="D696" t="s">
        <v>236</v>
      </c>
      <c r="E696" t="s">
        <v>237</v>
      </c>
      <c r="F696">
        <v>67</v>
      </c>
      <c r="G696" t="s">
        <v>258</v>
      </c>
      <c r="H696" t="s">
        <v>1528</v>
      </c>
      <c r="I696" t="s">
        <v>44</v>
      </c>
      <c r="J696" t="s">
        <v>236</v>
      </c>
      <c r="K696" t="s">
        <v>240</v>
      </c>
      <c r="L696" t="s">
        <v>1529</v>
      </c>
      <c r="M696">
        <v>8000</v>
      </c>
      <c r="N696">
        <v>40</v>
      </c>
    </row>
    <row r="697" spans="1:24" x14ac:dyDescent="0.25">
      <c r="A697">
        <f t="shared" ca="1" si="56"/>
        <v>0</v>
      </c>
      <c r="C697">
        <f t="shared" ca="1" si="57"/>
        <v>0</v>
      </c>
      <c r="D697" t="s">
        <v>236</v>
      </c>
      <c r="E697" t="s">
        <v>237</v>
      </c>
      <c r="F697">
        <v>1341</v>
      </c>
      <c r="G697" t="s">
        <v>907</v>
      </c>
      <c r="H697" t="s">
        <v>1530</v>
      </c>
      <c r="I697" t="s">
        <v>44</v>
      </c>
      <c r="J697" t="s">
        <v>236</v>
      </c>
      <c r="K697" t="s">
        <v>240</v>
      </c>
      <c r="L697" t="s">
        <v>1531</v>
      </c>
      <c r="M697">
        <v>6000</v>
      </c>
      <c r="N697">
        <v>41</v>
      </c>
      <c r="O697">
        <v>5028866</v>
      </c>
      <c r="P697">
        <v>153</v>
      </c>
      <c r="Q697" t="s">
        <v>98</v>
      </c>
      <c r="R697">
        <v>1780.6</v>
      </c>
      <c r="S697">
        <v>1780.6</v>
      </c>
      <c r="T697">
        <v>0</v>
      </c>
      <c r="U697" t="s">
        <v>34</v>
      </c>
    </row>
    <row r="698" spans="1:24" x14ac:dyDescent="0.25">
      <c r="A698">
        <f t="shared" ca="1" si="56"/>
        <v>0</v>
      </c>
      <c r="C698">
        <f t="shared" ca="1" si="57"/>
        <v>0</v>
      </c>
      <c r="D698" t="s">
        <v>236</v>
      </c>
      <c r="E698" t="s">
        <v>237</v>
      </c>
      <c r="F698">
        <v>69</v>
      </c>
      <c r="G698" t="s">
        <v>238</v>
      </c>
      <c r="H698" t="s">
        <v>460</v>
      </c>
      <c r="I698" t="s">
        <v>44</v>
      </c>
      <c r="J698" t="s">
        <v>236</v>
      </c>
      <c r="K698" t="s">
        <v>240</v>
      </c>
      <c r="L698" t="s">
        <v>1532</v>
      </c>
      <c r="M698">
        <v>7000</v>
      </c>
      <c r="N698">
        <v>42</v>
      </c>
      <c r="O698">
        <v>5014067</v>
      </c>
      <c r="P698">
        <v>6364</v>
      </c>
      <c r="Q698" t="s">
        <v>331</v>
      </c>
      <c r="R698">
        <v>745.37</v>
      </c>
      <c r="S698">
        <v>745.37</v>
      </c>
      <c r="T698">
        <v>0</v>
      </c>
      <c r="U698" t="s">
        <v>34</v>
      </c>
    </row>
    <row r="699" spans="1:24" x14ac:dyDescent="0.25">
      <c r="A699">
        <f t="shared" ca="1" si="56"/>
        <v>0</v>
      </c>
      <c r="C699">
        <f t="shared" ca="1" si="57"/>
        <v>0</v>
      </c>
      <c r="D699" t="s">
        <v>236</v>
      </c>
      <c r="E699" t="s">
        <v>237</v>
      </c>
      <c r="F699">
        <v>174</v>
      </c>
      <c r="G699" t="s">
        <v>907</v>
      </c>
      <c r="H699" t="s">
        <v>1533</v>
      </c>
      <c r="I699" t="s">
        <v>44</v>
      </c>
      <c r="J699" t="s">
        <v>236</v>
      </c>
      <c r="K699" t="s">
        <v>240</v>
      </c>
      <c r="L699" t="s">
        <v>1534</v>
      </c>
      <c r="M699">
        <v>2500</v>
      </c>
      <c r="N699">
        <v>44</v>
      </c>
      <c r="O699">
        <v>5015590</v>
      </c>
      <c r="P699">
        <v>81</v>
      </c>
      <c r="Q699" t="s">
        <v>102</v>
      </c>
      <c r="R699">
        <v>2549.06</v>
      </c>
      <c r="S699">
        <v>2549.06</v>
      </c>
      <c r="T699">
        <v>0</v>
      </c>
      <c r="U699" t="s">
        <v>34</v>
      </c>
    </row>
    <row r="700" spans="1:24" x14ac:dyDescent="0.25">
      <c r="A700">
        <f t="shared" ca="1" si="56"/>
        <v>0</v>
      </c>
      <c r="C700">
        <f t="shared" ca="1" si="57"/>
        <v>0</v>
      </c>
      <c r="D700" t="s">
        <v>236</v>
      </c>
      <c r="E700" t="s">
        <v>237</v>
      </c>
      <c r="F700">
        <v>399</v>
      </c>
      <c r="G700" t="s">
        <v>584</v>
      </c>
      <c r="H700" t="s">
        <v>1535</v>
      </c>
      <c r="I700" t="s">
        <v>44</v>
      </c>
      <c r="J700" t="s">
        <v>236</v>
      </c>
      <c r="K700" t="s">
        <v>240</v>
      </c>
      <c r="L700" t="s">
        <v>1536</v>
      </c>
      <c r="M700">
        <v>15000</v>
      </c>
      <c r="N700">
        <v>46</v>
      </c>
      <c r="O700">
        <v>5074203</v>
      </c>
      <c r="P700">
        <v>153</v>
      </c>
      <c r="Q700" t="s">
        <v>98</v>
      </c>
      <c r="R700">
        <v>1872.93</v>
      </c>
      <c r="S700">
        <v>1872.93</v>
      </c>
      <c r="T700">
        <v>0</v>
      </c>
      <c r="U700" t="s">
        <v>34</v>
      </c>
    </row>
    <row r="701" spans="1:24" x14ac:dyDescent="0.25">
      <c r="A701">
        <f t="shared" ca="1" si="56"/>
        <v>0</v>
      </c>
      <c r="C701">
        <f t="shared" ca="1" si="57"/>
        <v>0</v>
      </c>
      <c r="D701" t="s">
        <v>57</v>
      </c>
      <c r="E701" t="s">
        <v>237</v>
      </c>
      <c r="F701">
        <v>399</v>
      </c>
      <c r="G701" t="s">
        <v>584</v>
      </c>
      <c r="H701" t="s">
        <v>1537</v>
      </c>
      <c r="I701" t="s">
        <v>44</v>
      </c>
      <c r="J701" t="s">
        <v>57</v>
      </c>
      <c r="K701" t="s">
        <v>240</v>
      </c>
      <c r="L701" t="s">
        <v>1538</v>
      </c>
      <c r="M701">
        <v>15000</v>
      </c>
      <c r="N701">
        <v>47</v>
      </c>
      <c r="X701" t="s">
        <v>1539</v>
      </c>
    </row>
    <row r="702" spans="1:24" x14ac:dyDescent="0.25">
      <c r="A702">
        <f t="shared" ca="1" si="56"/>
        <v>0</v>
      </c>
      <c r="C702">
        <f t="shared" ca="1" si="57"/>
        <v>0</v>
      </c>
      <c r="D702" t="s">
        <v>209</v>
      </c>
      <c r="E702" t="s">
        <v>237</v>
      </c>
      <c r="F702">
        <v>69</v>
      </c>
      <c r="G702" t="s">
        <v>238</v>
      </c>
      <c r="H702" t="s">
        <v>256</v>
      </c>
      <c r="I702" t="s">
        <v>44</v>
      </c>
      <c r="J702" t="s">
        <v>209</v>
      </c>
      <c r="K702" t="s">
        <v>240</v>
      </c>
      <c r="L702" t="s">
        <v>1540</v>
      </c>
      <c r="M702">
        <v>15000</v>
      </c>
      <c r="N702">
        <v>48</v>
      </c>
      <c r="O702">
        <v>5080956</v>
      </c>
      <c r="P702">
        <v>7431</v>
      </c>
      <c r="Q702" t="s">
        <v>121</v>
      </c>
      <c r="R702">
        <v>4235</v>
      </c>
      <c r="T702">
        <v>4235</v>
      </c>
    </row>
    <row r="703" spans="1:24" x14ac:dyDescent="0.25">
      <c r="A703">
        <f t="shared" ca="1" si="56"/>
        <v>0</v>
      </c>
      <c r="C703">
        <f t="shared" ca="1" si="57"/>
        <v>0</v>
      </c>
      <c r="D703" t="s">
        <v>57</v>
      </c>
      <c r="E703" t="s">
        <v>237</v>
      </c>
      <c r="F703">
        <v>1013</v>
      </c>
      <c r="G703" t="s">
        <v>884</v>
      </c>
      <c r="H703" t="s">
        <v>1285</v>
      </c>
      <c r="I703" t="s">
        <v>44</v>
      </c>
      <c r="J703" t="s">
        <v>57</v>
      </c>
      <c r="K703" t="s">
        <v>240</v>
      </c>
      <c r="L703" t="s">
        <v>1541</v>
      </c>
      <c r="M703">
        <v>15500</v>
      </c>
      <c r="N703">
        <v>49</v>
      </c>
      <c r="O703">
        <v>5036166</v>
      </c>
      <c r="P703">
        <v>29</v>
      </c>
      <c r="Q703" t="s">
        <v>933</v>
      </c>
      <c r="R703">
        <v>11477.19</v>
      </c>
      <c r="S703">
        <v>11477.19</v>
      </c>
      <c r="T703">
        <v>0</v>
      </c>
      <c r="U703" t="s">
        <v>34</v>
      </c>
    </row>
    <row r="704" spans="1:24" x14ac:dyDescent="0.25">
      <c r="A704">
        <f t="shared" ca="1" si="56"/>
        <v>0</v>
      </c>
      <c r="C704">
        <f t="shared" ca="1" si="57"/>
        <v>0</v>
      </c>
      <c r="D704" t="s">
        <v>41</v>
      </c>
      <c r="E704" t="s">
        <v>237</v>
      </c>
      <c r="F704">
        <v>441</v>
      </c>
      <c r="G704" t="s">
        <v>884</v>
      </c>
      <c r="H704" t="s">
        <v>1542</v>
      </c>
      <c r="I704" t="s">
        <v>44</v>
      </c>
      <c r="J704" t="s">
        <v>41</v>
      </c>
      <c r="K704" t="s">
        <v>240</v>
      </c>
      <c r="L704" t="s">
        <v>1543</v>
      </c>
      <c r="M704">
        <v>20000</v>
      </c>
      <c r="N704">
        <v>50</v>
      </c>
      <c r="O704">
        <v>5034619</v>
      </c>
      <c r="P704">
        <v>4146</v>
      </c>
      <c r="Q704" t="s">
        <v>91</v>
      </c>
      <c r="R704">
        <v>17237</v>
      </c>
      <c r="T704">
        <v>17237</v>
      </c>
    </row>
    <row r="705" spans="1:24" x14ac:dyDescent="0.25">
      <c r="A705">
        <f t="shared" ca="1" si="56"/>
        <v>0</v>
      </c>
      <c r="C705">
        <f t="shared" ca="1" si="57"/>
        <v>0</v>
      </c>
      <c r="D705" t="s">
        <v>57</v>
      </c>
      <c r="E705" t="s">
        <v>237</v>
      </c>
      <c r="F705">
        <v>1345</v>
      </c>
      <c r="G705" t="s">
        <v>887</v>
      </c>
      <c r="H705" t="s">
        <v>1544</v>
      </c>
      <c r="I705" t="s">
        <v>44</v>
      </c>
      <c r="J705" t="s">
        <v>57</v>
      </c>
      <c r="K705" t="s">
        <v>240</v>
      </c>
      <c r="L705" t="s">
        <v>1545</v>
      </c>
      <c r="M705">
        <v>20000</v>
      </c>
      <c r="N705">
        <v>52</v>
      </c>
      <c r="O705">
        <v>5012489</v>
      </c>
      <c r="P705">
        <v>1519</v>
      </c>
      <c r="Q705" t="s">
        <v>1379</v>
      </c>
      <c r="R705">
        <v>17149.060000000001</v>
      </c>
      <c r="S705">
        <v>17149.060000000001</v>
      </c>
      <c r="T705">
        <v>0</v>
      </c>
      <c r="U705" t="s">
        <v>34</v>
      </c>
    </row>
    <row r="706" spans="1:24" x14ac:dyDescent="0.25">
      <c r="A706">
        <f t="shared" ca="1" si="56"/>
        <v>0</v>
      </c>
      <c r="C706">
        <f t="shared" ca="1" si="57"/>
        <v>0</v>
      </c>
      <c r="D706" t="s">
        <v>209</v>
      </c>
      <c r="E706" t="s">
        <v>237</v>
      </c>
      <c r="F706">
        <v>69</v>
      </c>
      <c r="G706" t="s">
        <v>580</v>
      </c>
      <c r="H706" t="s">
        <v>1546</v>
      </c>
      <c r="I706" t="s">
        <v>44</v>
      </c>
      <c r="J706" t="s">
        <v>209</v>
      </c>
      <c r="K706" t="s">
        <v>240</v>
      </c>
      <c r="L706" t="s">
        <v>1540</v>
      </c>
      <c r="M706">
        <v>25000</v>
      </c>
      <c r="N706">
        <v>53</v>
      </c>
      <c r="O706">
        <v>5080969</v>
      </c>
      <c r="P706">
        <v>7431</v>
      </c>
      <c r="Q706" t="s">
        <v>121</v>
      </c>
      <c r="R706">
        <v>7755</v>
      </c>
      <c r="T706">
        <v>7755</v>
      </c>
    </row>
    <row r="707" spans="1:24" x14ac:dyDescent="0.25">
      <c r="A707">
        <f t="shared" ca="1" si="56"/>
        <v>0</v>
      </c>
      <c r="C707">
        <f t="shared" ca="1" si="57"/>
        <v>0</v>
      </c>
      <c r="D707" t="s">
        <v>41</v>
      </c>
      <c r="E707" t="s">
        <v>237</v>
      </c>
      <c r="F707">
        <v>122</v>
      </c>
      <c r="G707" t="s">
        <v>887</v>
      </c>
      <c r="H707" t="s">
        <v>1547</v>
      </c>
      <c r="I707" t="s">
        <v>44</v>
      </c>
      <c r="J707" t="s">
        <v>41</v>
      </c>
      <c r="K707" t="s">
        <v>240</v>
      </c>
      <c r="L707" t="s">
        <v>1548</v>
      </c>
      <c r="M707">
        <v>30000</v>
      </c>
      <c r="N707">
        <v>54</v>
      </c>
      <c r="X707" t="s">
        <v>1549</v>
      </c>
    </row>
    <row r="708" spans="1:24" x14ac:dyDescent="0.25">
      <c r="A708">
        <f t="shared" ca="1" si="56"/>
        <v>0</v>
      </c>
      <c r="C708">
        <f t="shared" ca="1" si="57"/>
        <v>0</v>
      </c>
      <c r="D708" t="s">
        <v>57</v>
      </c>
      <c r="E708" t="s">
        <v>237</v>
      </c>
      <c r="F708">
        <v>1475</v>
      </c>
      <c r="G708" t="s">
        <v>584</v>
      </c>
      <c r="H708" t="s">
        <v>1550</v>
      </c>
      <c r="I708" t="s">
        <v>44</v>
      </c>
      <c r="J708" t="s">
        <v>57</v>
      </c>
      <c r="K708" t="s">
        <v>240</v>
      </c>
      <c r="L708" t="s">
        <v>1551</v>
      </c>
      <c r="M708">
        <v>35000</v>
      </c>
      <c r="N708">
        <v>55</v>
      </c>
      <c r="O708">
        <v>5024963</v>
      </c>
      <c r="P708">
        <v>1197</v>
      </c>
      <c r="Q708" t="s">
        <v>1552</v>
      </c>
      <c r="R708">
        <v>13019.82</v>
      </c>
      <c r="S708">
        <v>5207.93</v>
      </c>
      <c r="T708">
        <v>7811.89</v>
      </c>
    </row>
    <row r="709" spans="1:24" x14ac:dyDescent="0.25">
      <c r="A709">
        <f t="shared" ca="1" si="56"/>
        <v>0</v>
      </c>
      <c r="C709">
        <f t="shared" ca="1" si="57"/>
        <v>0</v>
      </c>
      <c r="D709" t="s">
        <v>57</v>
      </c>
      <c r="E709" t="s">
        <v>237</v>
      </c>
      <c r="F709">
        <v>724</v>
      </c>
      <c r="G709" t="s">
        <v>618</v>
      </c>
      <c r="H709" t="s">
        <v>1553</v>
      </c>
      <c r="I709" t="s">
        <v>44</v>
      </c>
      <c r="J709" t="s">
        <v>57</v>
      </c>
      <c r="K709" t="s">
        <v>240</v>
      </c>
      <c r="L709" t="s">
        <v>1554</v>
      </c>
      <c r="M709">
        <v>85000</v>
      </c>
      <c r="N709">
        <v>56</v>
      </c>
      <c r="O709">
        <v>5103898</v>
      </c>
      <c r="P709">
        <v>652</v>
      </c>
      <c r="Q709" t="s">
        <v>1555</v>
      </c>
      <c r="R709">
        <v>97704.2</v>
      </c>
      <c r="T709">
        <v>97704.2</v>
      </c>
      <c r="X709" t="s">
        <v>1556</v>
      </c>
    </row>
    <row r="710" spans="1:24" x14ac:dyDescent="0.25">
      <c r="A710">
        <f t="shared" ca="1" si="56"/>
        <v>0</v>
      </c>
      <c r="C710">
        <f t="shared" ca="1" si="57"/>
        <v>0</v>
      </c>
      <c r="D710" t="s">
        <v>26</v>
      </c>
      <c r="E710" t="s">
        <v>237</v>
      </c>
      <c r="F710">
        <v>426</v>
      </c>
      <c r="G710" t="s">
        <v>584</v>
      </c>
      <c r="H710" t="s">
        <v>1463</v>
      </c>
      <c r="I710" t="s">
        <v>30</v>
      </c>
      <c r="J710" t="s">
        <v>26</v>
      </c>
      <c r="K710" t="s">
        <v>240</v>
      </c>
      <c r="L710" t="s">
        <v>1557</v>
      </c>
      <c r="M710">
        <v>3000</v>
      </c>
      <c r="N710">
        <v>57</v>
      </c>
      <c r="U710" t="s">
        <v>34</v>
      </c>
      <c r="X710" t="s">
        <v>1558</v>
      </c>
    </row>
    <row r="711" spans="1:24" x14ac:dyDescent="0.25">
      <c r="A711">
        <f t="shared" ca="1" si="56"/>
        <v>0</v>
      </c>
      <c r="C711">
        <f t="shared" ca="1" si="57"/>
        <v>0</v>
      </c>
      <c r="D711" t="s">
        <v>57</v>
      </c>
      <c r="E711" t="s">
        <v>58</v>
      </c>
      <c r="F711">
        <v>945</v>
      </c>
      <c r="G711" t="s">
        <v>1038</v>
      </c>
      <c r="H711" t="s">
        <v>1559</v>
      </c>
      <c r="I711" t="s">
        <v>44</v>
      </c>
      <c r="J711" t="s">
        <v>57</v>
      </c>
      <c r="K711" t="s">
        <v>61</v>
      </c>
      <c r="L711" t="s">
        <v>1436</v>
      </c>
      <c r="O711">
        <v>5120945</v>
      </c>
      <c r="P711">
        <v>27164</v>
      </c>
      <c r="Q711" t="s">
        <v>1434</v>
      </c>
      <c r="R711">
        <v>6897.33</v>
      </c>
      <c r="T711">
        <v>6897.33</v>
      </c>
    </row>
    <row r="712" spans="1:24" x14ac:dyDescent="0.25">
      <c r="A712">
        <f t="shared" ca="1" si="56"/>
        <v>0</v>
      </c>
      <c r="C712">
        <f t="shared" ca="1" si="57"/>
        <v>0</v>
      </c>
      <c r="D712" t="s">
        <v>88</v>
      </c>
      <c r="E712" t="s">
        <v>27</v>
      </c>
      <c r="F712">
        <v>130</v>
      </c>
      <c r="G712" t="s">
        <v>114</v>
      </c>
      <c r="H712" t="s">
        <v>1560</v>
      </c>
      <c r="I712" t="s">
        <v>30</v>
      </c>
      <c r="J712" t="s">
        <v>88</v>
      </c>
      <c r="K712" t="s">
        <v>31</v>
      </c>
      <c r="L712" t="s">
        <v>1561</v>
      </c>
      <c r="M712">
        <v>20000</v>
      </c>
      <c r="N712">
        <v>399</v>
      </c>
      <c r="O712">
        <v>5124896</v>
      </c>
      <c r="P712">
        <v>4921</v>
      </c>
      <c r="Q712" t="s">
        <v>94</v>
      </c>
      <c r="R712">
        <v>34422.1</v>
      </c>
      <c r="T712">
        <v>34422.1</v>
      </c>
      <c r="U712" t="s">
        <v>107</v>
      </c>
      <c r="V712" s="1">
        <v>46295</v>
      </c>
      <c r="W712" s="1">
        <v>46325</v>
      </c>
      <c r="X712" t="s">
        <v>1562</v>
      </c>
    </row>
    <row r="713" spans="1:24" x14ac:dyDescent="0.25">
      <c r="A713">
        <f t="shared" ca="1" si="56"/>
        <v>0</v>
      </c>
      <c r="C713">
        <f t="shared" ca="1" si="57"/>
        <v>0</v>
      </c>
      <c r="D713" t="s">
        <v>236</v>
      </c>
      <c r="E713" t="s">
        <v>64</v>
      </c>
      <c r="F713">
        <v>2028</v>
      </c>
      <c r="G713" t="s">
        <v>319</v>
      </c>
      <c r="H713" t="s">
        <v>780</v>
      </c>
      <c r="I713" t="s">
        <v>44</v>
      </c>
      <c r="J713" t="s">
        <v>236</v>
      </c>
      <c r="K713" t="s">
        <v>67</v>
      </c>
      <c r="L713" t="s">
        <v>1563</v>
      </c>
      <c r="M713">
        <v>10000</v>
      </c>
      <c r="N713">
        <v>126</v>
      </c>
      <c r="O713">
        <v>5125424</v>
      </c>
      <c r="P713">
        <v>6787</v>
      </c>
      <c r="Q713" t="s">
        <v>33</v>
      </c>
    </row>
    <row r="714" spans="1:24" x14ac:dyDescent="0.25">
      <c r="A714">
        <f t="shared" ca="1" si="56"/>
        <v>0</v>
      </c>
      <c r="C714">
        <f t="shared" ca="1" si="57"/>
        <v>0</v>
      </c>
      <c r="D714" t="s">
        <v>236</v>
      </c>
      <c r="E714" t="s">
        <v>64</v>
      </c>
      <c r="F714">
        <v>2028</v>
      </c>
      <c r="G714" t="s">
        <v>319</v>
      </c>
      <c r="H714" t="s">
        <v>780</v>
      </c>
      <c r="I714" t="s">
        <v>44</v>
      </c>
      <c r="J714" t="s">
        <v>236</v>
      </c>
      <c r="K714" t="s">
        <v>67</v>
      </c>
      <c r="L714" t="s">
        <v>1564</v>
      </c>
      <c r="M714">
        <v>10000</v>
      </c>
      <c r="N714">
        <v>126</v>
      </c>
      <c r="O714">
        <v>5125395</v>
      </c>
      <c r="P714">
        <v>6787</v>
      </c>
      <c r="Q714" t="s">
        <v>33</v>
      </c>
    </row>
    <row r="715" spans="1:24" x14ac:dyDescent="0.25">
      <c r="A715">
        <f t="shared" ca="1" si="56"/>
        <v>0</v>
      </c>
      <c r="C715">
        <f t="shared" ca="1" si="57"/>
        <v>0</v>
      </c>
      <c r="D715" t="s">
        <v>35</v>
      </c>
      <c r="E715" t="s">
        <v>27</v>
      </c>
      <c r="F715">
        <v>603</v>
      </c>
      <c r="G715" t="s">
        <v>70</v>
      </c>
      <c r="H715" t="s">
        <v>1565</v>
      </c>
      <c r="I715" t="s">
        <v>30</v>
      </c>
      <c r="J715" t="s">
        <v>35</v>
      </c>
      <c r="K715" t="s">
        <v>31</v>
      </c>
      <c r="L715" t="s">
        <v>1566</v>
      </c>
      <c r="O715">
        <v>5126906</v>
      </c>
      <c r="P715">
        <v>6455</v>
      </c>
      <c r="Q715" t="s">
        <v>39</v>
      </c>
    </row>
    <row r="716" spans="1:24" x14ac:dyDescent="0.25">
      <c r="A716">
        <f t="shared" ca="1" si="56"/>
        <v>0</v>
      </c>
      <c r="C716">
        <f t="shared" ca="1" si="57"/>
        <v>0</v>
      </c>
      <c r="D716" t="s">
        <v>57</v>
      </c>
      <c r="E716" t="s">
        <v>58</v>
      </c>
      <c r="F716">
        <v>1464</v>
      </c>
      <c r="G716" t="s">
        <v>213</v>
      </c>
      <c r="H716" t="s">
        <v>1193</v>
      </c>
      <c r="I716" t="s">
        <v>44</v>
      </c>
      <c r="J716" t="s">
        <v>57</v>
      </c>
      <c r="K716" t="s">
        <v>215</v>
      </c>
      <c r="L716" t="s">
        <v>1567</v>
      </c>
      <c r="M716">
        <v>4000</v>
      </c>
      <c r="N716">
        <v>228</v>
      </c>
      <c r="P716">
        <v>10798</v>
      </c>
      <c r="Q716" t="s">
        <v>1568</v>
      </c>
      <c r="R716">
        <v>2901.49</v>
      </c>
      <c r="S716">
        <v>2901.49</v>
      </c>
      <c r="T716">
        <v>0</v>
      </c>
      <c r="X716" t="s">
        <v>1569</v>
      </c>
    </row>
    <row r="717" spans="1:24" x14ac:dyDescent="0.25">
      <c r="A717">
        <f t="shared" ca="1" si="56"/>
        <v>0</v>
      </c>
      <c r="C717">
        <f t="shared" ca="1" si="57"/>
        <v>0</v>
      </c>
      <c r="D717" t="s">
        <v>285</v>
      </c>
      <c r="E717" t="s">
        <v>58</v>
      </c>
      <c r="F717">
        <v>1300</v>
      </c>
      <c r="G717" t="s">
        <v>213</v>
      </c>
      <c r="H717" t="s">
        <v>1570</v>
      </c>
      <c r="I717" t="s">
        <v>187</v>
      </c>
      <c r="J717" t="s">
        <v>285</v>
      </c>
      <c r="K717" t="s">
        <v>215</v>
      </c>
      <c r="L717" t="s">
        <v>1571</v>
      </c>
      <c r="M717">
        <v>2500</v>
      </c>
      <c r="N717">
        <v>189</v>
      </c>
      <c r="P717">
        <v>6019</v>
      </c>
      <c r="Q717" t="s">
        <v>1572</v>
      </c>
      <c r="R717">
        <v>1858.6</v>
      </c>
      <c r="S717">
        <v>1858.6</v>
      </c>
      <c r="T717">
        <v>0</v>
      </c>
      <c r="X717" t="s">
        <v>1573</v>
      </c>
    </row>
    <row r="718" spans="1:24" x14ac:dyDescent="0.25">
      <c r="A718" t="s">
        <v>1574</v>
      </c>
    </row>
    <row r="719" spans="1:24" x14ac:dyDescent="0.25">
      <c r="A719">
        <f t="shared" ref="A719:A750" ca="1" si="58">+ Cmde</f>
        <v>0</v>
      </c>
      <c r="C719">
        <f t="shared" ref="C719:C750" ca="1" si="59">+ Devis</f>
        <v>0</v>
      </c>
      <c r="D719" t="s">
        <v>562</v>
      </c>
      <c r="E719" t="s">
        <v>64</v>
      </c>
      <c r="F719">
        <v>103</v>
      </c>
      <c r="G719" t="s">
        <v>1217</v>
      </c>
      <c r="H719" t="s">
        <v>1218</v>
      </c>
      <c r="I719" t="s">
        <v>30</v>
      </c>
      <c r="J719" t="s">
        <v>562</v>
      </c>
      <c r="K719" t="s">
        <v>67</v>
      </c>
      <c r="L719" t="s">
        <v>1219</v>
      </c>
      <c r="M719">
        <v>15000</v>
      </c>
      <c r="N719">
        <v>166</v>
      </c>
      <c r="O719">
        <v>5025336</v>
      </c>
      <c r="P719">
        <v>29</v>
      </c>
      <c r="Q719" t="s">
        <v>933</v>
      </c>
      <c r="R719">
        <v>5822.45</v>
      </c>
      <c r="S719">
        <v>5822.45</v>
      </c>
      <c r="T719">
        <v>0</v>
      </c>
      <c r="U719" t="s">
        <v>34</v>
      </c>
      <c r="V719" s="1">
        <v>46059</v>
      </c>
      <c r="W719" s="1">
        <v>46077</v>
      </c>
      <c r="X719" t="s">
        <v>1220</v>
      </c>
    </row>
    <row r="720" spans="1:24" x14ac:dyDescent="0.25">
      <c r="A720">
        <f t="shared" ca="1" si="58"/>
        <v>0</v>
      </c>
      <c r="C720">
        <f t="shared" ca="1" si="59"/>
        <v>0</v>
      </c>
      <c r="D720" t="s">
        <v>35</v>
      </c>
      <c r="E720" t="s">
        <v>27</v>
      </c>
      <c r="F720">
        <v>218</v>
      </c>
      <c r="G720" t="s">
        <v>28</v>
      </c>
      <c r="H720" t="s">
        <v>1575</v>
      </c>
      <c r="I720" t="s">
        <v>30</v>
      </c>
      <c r="J720" t="s">
        <v>35</v>
      </c>
      <c r="K720" t="s">
        <v>31</v>
      </c>
      <c r="L720" t="s">
        <v>1576</v>
      </c>
      <c r="M720">
        <v>5000</v>
      </c>
      <c r="N720">
        <v>405</v>
      </c>
      <c r="O720">
        <v>5066554</v>
      </c>
      <c r="P720">
        <v>4146</v>
      </c>
      <c r="Q720" t="s">
        <v>91</v>
      </c>
      <c r="R720">
        <v>4335.1899999999996</v>
      </c>
      <c r="S720">
        <v>4335.1899999999996</v>
      </c>
      <c r="T720">
        <v>0</v>
      </c>
      <c r="U720" t="s">
        <v>34</v>
      </c>
      <c r="V720" s="1">
        <v>46162</v>
      </c>
      <c r="W720" s="1">
        <v>46172</v>
      </c>
    </row>
    <row r="721" spans="1:24" x14ac:dyDescent="0.25">
      <c r="A721">
        <f t="shared" ca="1" si="58"/>
        <v>0</v>
      </c>
      <c r="C721">
        <f t="shared" ca="1" si="59"/>
        <v>0</v>
      </c>
      <c r="D721" t="s">
        <v>209</v>
      </c>
      <c r="E721" t="s">
        <v>184</v>
      </c>
      <c r="F721">
        <v>927</v>
      </c>
      <c r="G721" t="s">
        <v>192</v>
      </c>
      <c r="H721" t="s">
        <v>1577</v>
      </c>
      <c r="I721" t="s">
        <v>44</v>
      </c>
      <c r="J721" t="s">
        <v>209</v>
      </c>
      <c r="K721" t="s">
        <v>188</v>
      </c>
      <c r="L721" t="s">
        <v>1578</v>
      </c>
      <c r="M721">
        <v>25000</v>
      </c>
      <c r="N721">
        <v>452</v>
      </c>
      <c r="O721">
        <v>5068458</v>
      </c>
      <c r="P721">
        <v>6364</v>
      </c>
      <c r="Q721" t="s">
        <v>331</v>
      </c>
      <c r="R721">
        <v>3557.4</v>
      </c>
      <c r="S721">
        <v>3557.4</v>
      </c>
      <c r="T721">
        <v>0</v>
      </c>
      <c r="U721" t="s">
        <v>34</v>
      </c>
    </row>
    <row r="722" spans="1:24" x14ac:dyDescent="0.25">
      <c r="A722">
        <f t="shared" ca="1" si="58"/>
        <v>0</v>
      </c>
      <c r="C722">
        <f t="shared" ca="1" si="59"/>
        <v>0</v>
      </c>
      <c r="D722" t="s">
        <v>209</v>
      </c>
      <c r="E722" t="s">
        <v>184</v>
      </c>
      <c r="F722">
        <v>927</v>
      </c>
      <c r="G722" t="s">
        <v>192</v>
      </c>
      <c r="H722" t="s">
        <v>1577</v>
      </c>
      <c r="I722" t="s">
        <v>44</v>
      </c>
      <c r="J722" t="s">
        <v>209</v>
      </c>
      <c r="K722" t="s">
        <v>188</v>
      </c>
      <c r="L722" t="s">
        <v>1579</v>
      </c>
      <c r="M722">
        <v>25000</v>
      </c>
      <c r="N722">
        <v>452</v>
      </c>
      <c r="O722">
        <v>5068471</v>
      </c>
      <c r="P722">
        <v>6364</v>
      </c>
      <c r="Q722" t="s">
        <v>331</v>
      </c>
      <c r="R722">
        <v>936.58</v>
      </c>
      <c r="S722">
        <v>936.58</v>
      </c>
      <c r="T722">
        <v>0</v>
      </c>
      <c r="U722" t="s">
        <v>34</v>
      </c>
    </row>
    <row r="723" spans="1:24" x14ac:dyDescent="0.25">
      <c r="A723">
        <f t="shared" ca="1" si="58"/>
        <v>0</v>
      </c>
      <c r="C723">
        <f t="shared" ca="1" si="59"/>
        <v>0</v>
      </c>
      <c r="D723" t="s">
        <v>355</v>
      </c>
      <c r="E723" t="s">
        <v>64</v>
      </c>
      <c r="F723">
        <v>505</v>
      </c>
      <c r="G723" t="s">
        <v>65</v>
      </c>
      <c r="H723" t="s">
        <v>1580</v>
      </c>
      <c r="I723" t="s">
        <v>30</v>
      </c>
      <c r="J723" t="s">
        <v>355</v>
      </c>
      <c r="K723" t="s">
        <v>67</v>
      </c>
      <c r="L723" t="s">
        <v>1581</v>
      </c>
      <c r="M723">
        <v>10000</v>
      </c>
      <c r="N723">
        <v>154</v>
      </c>
      <c r="O723">
        <v>5072092</v>
      </c>
      <c r="P723">
        <v>2391</v>
      </c>
      <c r="Q723" t="s">
        <v>314</v>
      </c>
      <c r="R723">
        <v>10761.42</v>
      </c>
      <c r="T723">
        <v>10761.42</v>
      </c>
      <c r="U723" t="s">
        <v>40</v>
      </c>
      <c r="V723" s="1">
        <v>46203</v>
      </c>
      <c r="W723" s="1">
        <v>46206</v>
      </c>
    </row>
    <row r="724" spans="1:24" x14ac:dyDescent="0.25">
      <c r="A724">
        <f t="shared" ca="1" si="58"/>
        <v>0</v>
      </c>
      <c r="C724">
        <f t="shared" ca="1" si="59"/>
        <v>0</v>
      </c>
      <c r="D724" t="s">
        <v>35</v>
      </c>
      <c r="E724" t="s">
        <v>58</v>
      </c>
      <c r="F724">
        <v>352</v>
      </c>
      <c r="G724" t="s">
        <v>293</v>
      </c>
      <c r="H724" t="s">
        <v>1582</v>
      </c>
      <c r="I724" t="s">
        <v>30</v>
      </c>
      <c r="J724" t="s">
        <v>35</v>
      </c>
      <c r="K724" t="s">
        <v>61</v>
      </c>
      <c r="L724" t="s">
        <v>1583</v>
      </c>
      <c r="O724">
        <v>5072804</v>
      </c>
      <c r="P724">
        <v>1</v>
      </c>
      <c r="Q724" t="s">
        <v>636</v>
      </c>
      <c r="R724">
        <v>2805</v>
      </c>
      <c r="S724">
        <v>2805</v>
      </c>
      <c r="T724">
        <v>0</v>
      </c>
      <c r="U724" t="s">
        <v>34</v>
      </c>
    </row>
    <row r="725" spans="1:24" x14ac:dyDescent="0.25">
      <c r="A725">
        <f t="shared" ca="1" si="58"/>
        <v>0</v>
      </c>
      <c r="C725">
        <f t="shared" ca="1" si="59"/>
        <v>0</v>
      </c>
      <c r="D725" t="s">
        <v>48</v>
      </c>
      <c r="E725" t="s">
        <v>58</v>
      </c>
      <c r="F725">
        <v>149</v>
      </c>
      <c r="G725" t="s">
        <v>1038</v>
      </c>
      <c r="H725" t="s">
        <v>1584</v>
      </c>
      <c r="I725" t="s">
        <v>30</v>
      </c>
      <c r="J725" t="s">
        <v>48</v>
      </c>
      <c r="K725" t="s">
        <v>61</v>
      </c>
      <c r="L725" t="s">
        <v>1585</v>
      </c>
      <c r="O725">
        <v>5074248</v>
      </c>
      <c r="P725">
        <v>81</v>
      </c>
      <c r="Q725" t="s">
        <v>102</v>
      </c>
      <c r="R725">
        <v>3281.91</v>
      </c>
      <c r="T725">
        <v>3281.91</v>
      </c>
      <c r="U725" t="s">
        <v>107</v>
      </c>
      <c r="V725" s="1">
        <v>46286</v>
      </c>
      <c r="W725" s="1">
        <v>46295</v>
      </c>
      <c r="X725" t="s">
        <v>593</v>
      </c>
    </row>
    <row r="726" spans="1:24" x14ac:dyDescent="0.25">
      <c r="A726">
        <f t="shared" ca="1" si="58"/>
        <v>0</v>
      </c>
      <c r="C726">
        <f t="shared" ca="1" si="59"/>
        <v>0</v>
      </c>
      <c r="D726" t="s">
        <v>95</v>
      </c>
      <c r="E726" t="s">
        <v>58</v>
      </c>
      <c r="F726">
        <v>66</v>
      </c>
      <c r="G726" t="s">
        <v>464</v>
      </c>
      <c r="H726" t="s">
        <v>1586</v>
      </c>
      <c r="I726" t="s">
        <v>30</v>
      </c>
      <c r="J726" t="s">
        <v>95</v>
      </c>
      <c r="K726" t="s">
        <v>61</v>
      </c>
      <c r="L726" t="s">
        <v>1587</v>
      </c>
      <c r="M726">
        <v>13000</v>
      </c>
      <c r="N726">
        <v>235</v>
      </c>
      <c r="O726">
        <v>5080474</v>
      </c>
      <c r="P726">
        <v>6168</v>
      </c>
      <c r="Q726" t="s">
        <v>1063</v>
      </c>
      <c r="R726">
        <v>2915</v>
      </c>
      <c r="S726">
        <v>2915</v>
      </c>
      <c r="T726">
        <v>0</v>
      </c>
      <c r="U726" t="s">
        <v>34</v>
      </c>
    </row>
    <row r="727" spans="1:24" x14ac:dyDescent="0.25">
      <c r="A727">
        <f t="shared" ca="1" si="58"/>
        <v>0</v>
      </c>
      <c r="C727">
        <f t="shared" ca="1" si="59"/>
        <v>0</v>
      </c>
      <c r="D727" t="s">
        <v>95</v>
      </c>
      <c r="E727" t="s">
        <v>58</v>
      </c>
      <c r="F727">
        <v>66</v>
      </c>
      <c r="G727" t="s">
        <v>464</v>
      </c>
      <c r="H727" t="s">
        <v>1586</v>
      </c>
      <c r="I727" t="s">
        <v>30</v>
      </c>
      <c r="J727" t="s">
        <v>95</v>
      </c>
      <c r="K727" t="s">
        <v>61</v>
      </c>
      <c r="L727" t="s">
        <v>1588</v>
      </c>
      <c r="M727">
        <v>13000</v>
      </c>
      <c r="N727">
        <v>235</v>
      </c>
      <c r="O727">
        <v>5080485</v>
      </c>
      <c r="P727">
        <v>6168</v>
      </c>
      <c r="Q727" t="s">
        <v>1063</v>
      </c>
      <c r="R727">
        <v>3520</v>
      </c>
      <c r="S727">
        <v>3520</v>
      </c>
      <c r="T727">
        <v>0</v>
      </c>
      <c r="U727" t="s">
        <v>34</v>
      </c>
    </row>
    <row r="728" spans="1:24" x14ac:dyDescent="0.25">
      <c r="A728">
        <f t="shared" ca="1" si="58"/>
        <v>0</v>
      </c>
      <c r="C728">
        <f t="shared" ca="1" si="59"/>
        <v>0</v>
      </c>
      <c r="D728" t="s">
        <v>95</v>
      </c>
      <c r="E728" t="s">
        <v>58</v>
      </c>
      <c r="F728">
        <v>66</v>
      </c>
      <c r="G728" t="s">
        <v>464</v>
      </c>
      <c r="H728" t="s">
        <v>1586</v>
      </c>
      <c r="I728" t="s">
        <v>30</v>
      </c>
      <c r="J728" t="s">
        <v>95</v>
      </c>
      <c r="K728" t="s">
        <v>61</v>
      </c>
      <c r="L728" t="s">
        <v>1589</v>
      </c>
      <c r="M728">
        <v>13000</v>
      </c>
      <c r="N728">
        <v>235</v>
      </c>
      <c r="O728">
        <v>5085951</v>
      </c>
      <c r="P728">
        <v>6836</v>
      </c>
      <c r="Q728" t="s">
        <v>968</v>
      </c>
      <c r="R728">
        <v>328.32</v>
      </c>
      <c r="S728">
        <v>328.32</v>
      </c>
      <c r="T728">
        <v>0</v>
      </c>
      <c r="U728" t="s">
        <v>34</v>
      </c>
      <c r="V728" s="1">
        <v>46223</v>
      </c>
      <c r="W728" s="1">
        <v>46224</v>
      </c>
    </row>
    <row r="729" spans="1:24" x14ac:dyDescent="0.25">
      <c r="A729">
        <f t="shared" ca="1" si="58"/>
        <v>0</v>
      </c>
      <c r="C729">
        <f t="shared" ca="1" si="59"/>
        <v>0</v>
      </c>
      <c r="D729" t="s">
        <v>95</v>
      </c>
      <c r="E729" t="s">
        <v>58</v>
      </c>
      <c r="F729">
        <v>66</v>
      </c>
      <c r="G729" t="s">
        <v>464</v>
      </c>
      <c r="H729" t="s">
        <v>1586</v>
      </c>
      <c r="I729" t="s">
        <v>30</v>
      </c>
      <c r="J729" t="s">
        <v>95</v>
      </c>
      <c r="K729" t="s">
        <v>61</v>
      </c>
      <c r="L729" t="s">
        <v>1590</v>
      </c>
      <c r="M729">
        <v>13000</v>
      </c>
      <c r="N729">
        <v>235</v>
      </c>
      <c r="O729">
        <v>5085691</v>
      </c>
      <c r="P729">
        <v>6836</v>
      </c>
      <c r="Q729" t="s">
        <v>968</v>
      </c>
      <c r="R729">
        <v>89.17</v>
      </c>
      <c r="S729">
        <v>89.17</v>
      </c>
      <c r="T729">
        <v>0</v>
      </c>
      <c r="U729" t="s">
        <v>34</v>
      </c>
      <c r="V729" s="1">
        <v>46211</v>
      </c>
      <c r="W729" s="1">
        <v>46212</v>
      </c>
    </row>
    <row r="730" spans="1:24" x14ac:dyDescent="0.25">
      <c r="A730">
        <f t="shared" ca="1" si="58"/>
        <v>0</v>
      </c>
      <c r="C730">
        <f t="shared" ca="1" si="59"/>
        <v>0</v>
      </c>
      <c r="D730" t="s">
        <v>95</v>
      </c>
      <c r="E730" t="s">
        <v>250</v>
      </c>
      <c r="F730">
        <v>1925</v>
      </c>
      <c r="G730" t="s">
        <v>996</v>
      </c>
      <c r="H730" t="s">
        <v>1591</v>
      </c>
      <c r="I730" t="s">
        <v>30</v>
      </c>
      <c r="J730" t="s">
        <v>95</v>
      </c>
      <c r="K730" t="s">
        <v>253</v>
      </c>
      <c r="L730" t="s">
        <v>1004</v>
      </c>
      <c r="M730">
        <v>6000</v>
      </c>
      <c r="N730">
        <v>734</v>
      </c>
      <c r="O730">
        <v>5086072</v>
      </c>
      <c r="P730">
        <v>6067</v>
      </c>
      <c r="Q730" t="s">
        <v>1005</v>
      </c>
      <c r="R730">
        <v>17675.88</v>
      </c>
      <c r="T730">
        <v>17675.88</v>
      </c>
    </row>
    <row r="731" spans="1:24" x14ac:dyDescent="0.25">
      <c r="A731">
        <f t="shared" ca="1" si="58"/>
        <v>0</v>
      </c>
      <c r="C731">
        <f t="shared" ca="1" si="59"/>
        <v>0</v>
      </c>
      <c r="D731" t="s">
        <v>26</v>
      </c>
      <c r="E731" t="s">
        <v>27</v>
      </c>
      <c r="F731">
        <v>284</v>
      </c>
      <c r="G731" t="s">
        <v>28</v>
      </c>
      <c r="H731" t="s">
        <v>1592</v>
      </c>
      <c r="I731" t="s">
        <v>30</v>
      </c>
      <c r="J731" t="s">
        <v>26</v>
      </c>
      <c r="K731" t="s">
        <v>31</v>
      </c>
      <c r="L731" t="s">
        <v>1593</v>
      </c>
      <c r="O731">
        <v>5102884</v>
      </c>
      <c r="P731">
        <v>81</v>
      </c>
      <c r="Q731" t="s">
        <v>102</v>
      </c>
      <c r="R731">
        <v>5987.42</v>
      </c>
      <c r="T731">
        <v>5987.42</v>
      </c>
      <c r="U731" t="s">
        <v>40</v>
      </c>
      <c r="V731" s="1">
        <v>46266</v>
      </c>
      <c r="W731" s="1">
        <v>46327</v>
      </c>
    </row>
    <row r="732" spans="1:24" x14ac:dyDescent="0.25">
      <c r="A732">
        <f t="shared" ca="1" si="58"/>
        <v>0</v>
      </c>
      <c r="C732">
        <f t="shared" ca="1" si="59"/>
        <v>0</v>
      </c>
      <c r="D732" t="s">
        <v>74</v>
      </c>
      <c r="E732" t="s">
        <v>27</v>
      </c>
      <c r="F732">
        <v>210</v>
      </c>
      <c r="G732" t="s">
        <v>28</v>
      </c>
      <c r="H732" t="s">
        <v>275</v>
      </c>
      <c r="I732" t="s">
        <v>30</v>
      </c>
      <c r="J732" t="s">
        <v>74</v>
      </c>
      <c r="K732" t="s">
        <v>31</v>
      </c>
      <c r="L732" t="s">
        <v>1594</v>
      </c>
      <c r="M732">
        <v>5000</v>
      </c>
      <c r="N732">
        <v>438</v>
      </c>
      <c r="O732">
        <v>5102915</v>
      </c>
      <c r="P732">
        <v>25204</v>
      </c>
      <c r="Q732" t="s">
        <v>46</v>
      </c>
      <c r="R732">
        <v>4448.74</v>
      </c>
      <c r="S732">
        <v>4448.74</v>
      </c>
      <c r="T732">
        <v>0</v>
      </c>
      <c r="U732" t="s">
        <v>34</v>
      </c>
      <c r="V732" s="1">
        <v>46266</v>
      </c>
      <c r="W732" s="1">
        <v>46280</v>
      </c>
    </row>
    <row r="733" spans="1:24" x14ac:dyDescent="0.25">
      <c r="A733">
        <f t="shared" ca="1" si="58"/>
        <v>0</v>
      </c>
      <c r="C733">
        <f t="shared" ca="1" si="59"/>
        <v>0</v>
      </c>
      <c r="D733" t="s">
        <v>79</v>
      </c>
      <c r="E733" t="s">
        <v>58</v>
      </c>
      <c r="F733">
        <v>1311</v>
      </c>
      <c r="G733" t="s">
        <v>213</v>
      </c>
      <c r="H733" t="s">
        <v>1595</v>
      </c>
      <c r="I733" t="s">
        <v>30</v>
      </c>
      <c r="J733" t="s">
        <v>79</v>
      </c>
      <c r="K733" t="s">
        <v>215</v>
      </c>
      <c r="L733" t="s">
        <v>1596</v>
      </c>
      <c r="M733">
        <v>3500</v>
      </c>
      <c r="N733">
        <v>269</v>
      </c>
      <c r="O733">
        <v>5126188</v>
      </c>
      <c r="P733">
        <v>2391</v>
      </c>
      <c r="Q733" t="s">
        <v>314</v>
      </c>
      <c r="R733">
        <v>3574.9</v>
      </c>
      <c r="T733">
        <v>3574.9</v>
      </c>
      <c r="U733" t="s">
        <v>107</v>
      </c>
      <c r="V733" s="1">
        <v>46314</v>
      </c>
      <c r="W733" s="1">
        <v>46346</v>
      </c>
      <c r="X733" t="s">
        <v>1195</v>
      </c>
    </row>
    <row r="734" spans="1:24" x14ac:dyDescent="0.25">
      <c r="A734">
        <f t="shared" ca="1" si="58"/>
        <v>0</v>
      </c>
      <c r="C734">
        <f t="shared" ca="1" si="59"/>
        <v>0</v>
      </c>
      <c r="D734" t="s">
        <v>79</v>
      </c>
      <c r="E734" t="s">
        <v>58</v>
      </c>
      <c r="F734">
        <v>1311</v>
      </c>
      <c r="G734" t="s">
        <v>213</v>
      </c>
      <c r="H734" t="s">
        <v>1595</v>
      </c>
      <c r="I734" t="s">
        <v>30</v>
      </c>
      <c r="J734" t="s">
        <v>79</v>
      </c>
      <c r="K734" t="s">
        <v>215</v>
      </c>
      <c r="L734" t="s">
        <v>1597</v>
      </c>
      <c r="M734">
        <v>3500</v>
      </c>
      <c r="N734">
        <v>269</v>
      </c>
      <c r="O734">
        <v>5126187</v>
      </c>
      <c r="P734">
        <v>2391</v>
      </c>
      <c r="Q734" t="s">
        <v>314</v>
      </c>
      <c r="R734">
        <v>3518.12</v>
      </c>
      <c r="T734">
        <v>3518.12</v>
      </c>
      <c r="U734" t="s">
        <v>107</v>
      </c>
      <c r="V734" s="1">
        <v>46314</v>
      </c>
      <c r="W734" s="1">
        <v>46346</v>
      </c>
      <c r="X734" t="s">
        <v>1195</v>
      </c>
    </row>
    <row r="735" spans="1:24" x14ac:dyDescent="0.25">
      <c r="A735">
        <f t="shared" ca="1" si="58"/>
        <v>0</v>
      </c>
      <c r="C735">
        <f t="shared" ca="1" si="59"/>
        <v>0</v>
      </c>
      <c r="D735" t="s">
        <v>203</v>
      </c>
      <c r="E735" t="s">
        <v>58</v>
      </c>
      <c r="F735">
        <v>58</v>
      </c>
      <c r="G735" t="s">
        <v>224</v>
      </c>
      <c r="H735" t="s">
        <v>1404</v>
      </c>
      <c r="I735" t="s">
        <v>44</v>
      </c>
      <c r="J735" t="s">
        <v>203</v>
      </c>
      <c r="K735" t="s">
        <v>61</v>
      </c>
      <c r="L735" t="s">
        <v>1598</v>
      </c>
      <c r="M735">
        <v>15000</v>
      </c>
      <c r="N735">
        <v>202</v>
      </c>
      <c r="O735">
        <v>5080463</v>
      </c>
      <c r="P735">
        <v>7431</v>
      </c>
      <c r="Q735" t="s">
        <v>121</v>
      </c>
      <c r="R735">
        <v>12595</v>
      </c>
      <c r="T735">
        <v>12595</v>
      </c>
      <c r="U735" t="s">
        <v>107</v>
      </c>
      <c r="V735" s="1">
        <v>46307</v>
      </c>
      <c r="W735" s="1">
        <v>46311</v>
      </c>
      <c r="X735" t="s">
        <v>1599</v>
      </c>
    </row>
    <row r="736" spans="1:24" x14ac:dyDescent="0.25">
      <c r="A736">
        <f t="shared" ca="1" si="58"/>
        <v>0</v>
      </c>
      <c r="C736">
        <f t="shared" ca="1" si="59"/>
        <v>0</v>
      </c>
      <c r="D736" t="s">
        <v>355</v>
      </c>
      <c r="E736" t="s">
        <v>58</v>
      </c>
      <c r="F736">
        <v>133</v>
      </c>
      <c r="G736" t="s">
        <v>426</v>
      </c>
      <c r="H736" t="s">
        <v>1600</v>
      </c>
      <c r="I736" t="s">
        <v>30</v>
      </c>
      <c r="J736" t="s">
        <v>355</v>
      </c>
      <c r="K736" t="s">
        <v>215</v>
      </c>
      <c r="L736" t="s">
        <v>1601</v>
      </c>
      <c r="M736">
        <v>15000</v>
      </c>
      <c r="N736">
        <v>237</v>
      </c>
      <c r="X736" t="s">
        <v>212</v>
      </c>
    </row>
    <row r="737" spans="1:24" x14ac:dyDescent="0.25">
      <c r="A737">
        <f t="shared" ca="1" si="58"/>
        <v>0</v>
      </c>
      <c r="C737">
        <f t="shared" ca="1" si="59"/>
        <v>0</v>
      </c>
      <c r="D737" t="s">
        <v>196</v>
      </c>
      <c r="E737" t="s">
        <v>27</v>
      </c>
      <c r="F737">
        <v>45</v>
      </c>
      <c r="G737" t="s">
        <v>36</v>
      </c>
      <c r="H737" t="s">
        <v>1602</v>
      </c>
      <c r="I737" t="s">
        <v>187</v>
      </c>
      <c r="J737" t="s">
        <v>196</v>
      </c>
      <c r="K737" t="s">
        <v>31</v>
      </c>
      <c r="L737" t="s">
        <v>1603</v>
      </c>
      <c r="M737">
        <v>3000</v>
      </c>
      <c r="N737">
        <v>298</v>
      </c>
      <c r="O737">
        <v>5079365</v>
      </c>
      <c r="P737">
        <v>7111</v>
      </c>
      <c r="Q737" t="s">
        <v>754</v>
      </c>
      <c r="R737">
        <v>4287.6000000000004</v>
      </c>
      <c r="T737">
        <v>4287.6000000000004</v>
      </c>
      <c r="U737" t="s">
        <v>40</v>
      </c>
      <c r="V737" s="1">
        <v>46266</v>
      </c>
      <c r="W737" s="1">
        <v>46295</v>
      </c>
      <c r="X737" t="s">
        <v>1604</v>
      </c>
    </row>
    <row r="738" spans="1:24" x14ac:dyDescent="0.25">
      <c r="A738">
        <f t="shared" ca="1" si="58"/>
        <v>0</v>
      </c>
      <c r="C738">
        <f t="shared" ca="1" si="59"/>
        <v>0</v>
      </c>
      <c r="D738" t="s">
        <v>79</v>
      </c>
      <c r="E738" t="s">
        <v>237</v>
      </c>
      <c r="F738">
        <v>1275</v>
      </c>
      <c r="G738" t="s">
        <v>258</v>
      </c>
      <c r="H738" t="s">
        <v>1605</v>
      </c>
      <c r="I738" t="s">
        <v>30</v>
      </c>
      <c r="J738" t="s">
        <v>79</v>
      </c>
      <c r="K738" t="s">
        <v>240</v>
      </c>
      <c r="L738" t="s">
        <v>1606</v>
      </c>
      <c r="M738">
        <v>4000</v>
      </c>
      <c r="N738">
        <v>58</v>
      </c>
      <c r="O738">
        <v>5042866</v>
      </c>
      <c r="P738">
        <v>7669</v>
      </c>
      <c r="Q738" t="s">
        <v>261</v>
      </c>
      <c r="R738">
        <v>3690.83</v>
      </c>
      <c r="S738">
        <v>3690.83</v>
      </c>
      <c r="T738">
        <v>0</v>
      </c>
      <c r="U738" t="s">
        <v>34</v>
      </c>
    </row>
    <row r="739" spans="1:24" x14ac:dyDescent="0.25">
      <c r="A739">
        <f t="shared" ca="1" si="58"/>
        <v>0</v>
      </c>
      <c r="C739">
        <f t="shared" ca="1" si="59"/>
        <v>0</v>
      </c>
      <c r="D739" t="s">
        <v>355</v>
      </c>
      <c r="E739" t="s">
        <v>237</v>
      </c>
      <c r="F739">
        <v>341</v>
      </c>
      <c r="G739" t="s">
        <v>887</v>
      </c>
      <c r="H739" t="s">
        <v>1607</v>
      </c>
      <c r="I739" t="s">
        <v>30</v>
      </c>
      <c r="J739" t="s">
        <v>355</v>
      </c>
      <c r="K739" t="s">
        <v>240</v>
      </c>
      <c r="L739" t="s">
        <v>1608</v>
      </c>
      <c r="M739">
        <v>4000</v>
      </c>
      <c r="N739">
        <v>59</v>
      </c>
      <c r="O739">
        <v>5059572</v>
      </c>
      <c r="P739">
        <v>2391</v>
      </c>
      <c r="Q739" t="s">
        <v>314</v>
      </c>
    </row>
    <row r="740" spans="1:24" x14ac:dyDescent="0.25">
      <c r="A740">
        <f t="shared" ca="1" si="58"/>
        <v>0</v>
      </c>
      <c r="C740">
        <f t="shared" ca="1" si="59"/>
        <v>0</v>
      </c>
      <c r="D740" t="s">
        <v>26</v>
      </c>
      <c r="E740" t="s">
        <v>237</v>
      </c>
      <c r="F740">
        <v>63</v>
      </c>
      <c r="G740" t="s">
        <v>238</v>
      </c>
      <c r="H740" t="s">
        <v>874</v>
      </c>
      <c r="I740" t="s">
        <v>30</v>
      </c>
      <c r="J740" t="s">
        <v>26</v>
      </c>
      <c r="K740" t="s">
        <v>240</v>
      </c>
      <c r="L740" t="s">
        <v>1609</v>
      </c>
      <c r="M740">
        <v>5000</v>
      </c>
      <c r="N740">
        <v>60</v>
      </c>
      <c r="O740">
        <v>5084268</v>
      </c>
      <c r="P740">
        <v>81</v>
      </c>
      <c r="Q740" t="s">
        <v>102</v>
      </c>
      <c r="R740">
        <v>3948.3</v>
      </c>
      <c r="T740">
        <v>3948.3</v>
      </c>
    </row>
    <row r="741" spans="1:24" x14ac:dyDescent="0.25">
      <c r="A741">
        <f t="shared" ca="1" si="58"/>
        <v>0</v>
      </c>
      <c r="C741">
        <f t="shared" ca="1" si="59"/>
        <v>0</v>
      </c>
      <c r="D741" t="s">
        <v>355</v>
      </c>
      <c r="E741" t="s">
        <v>237</v>
      </c>
      <c r="F741">
        <v>18</v>
      </c>
      <c r="G741" t="s">
        <v>887</v>
      </c>
      <c r="H741" t="s">
        <v>1610</v>
      </c>
      <c r="I741" t="s">
        <v>30</v>
      </c>
      <c r="J741" t="s">
        <v>355</v>
      </c>
      <c r="K741" t="s">
        <v>240</v>
      </c>
      <c r="L741" t="s">
        <v>1611</v>
      </c>
      <c r="M741">
        <v>5000</v>
      </c>
      <c r="N741">
        <v>61</v>
      </c>
      <c r="O741">
        <v>5040817</v>
      </c>
      <c r="P741">
        <v>6681</v>
      </c>
      <c r="Q741" t="s">
        <v>1612</v>
      </c>
      <c r="R741">
        <v>2200</v>
      </c>
      <c r="S741">
        <v>2200</v>
      </c>
      <c r="T741">
        <v>0</v>
      </c>
      <c r="U741" t="s">
        <v>34</v>
      </c>
    </row>
    <row r="742" spans="1:24" x14ac:dyDescent="0.25">
      <c r="A742">
        <f t="shared" ca="1" si="58"/>
        <v>0</v>
      </c>
      <c r="C742">
        <f t="shared" ca="1" si="59"/>
        <v>0</v>
      </c>
      <c r="D742" t="s">
        <v>35</v>
      </c>
      <c r="E742" t="s">
        <v>237</v>
      </c>
      <c r="F742">
        <v>37</v>
      </c>
      <c r="G742" t="s">
        <v>884</v>
      </c>
      <c r="H742" t="s">
        <v>1613</v>
      </c>
      <c r="I742" t="s">
        <v>30</v>
      </c>
      <c r="J742" t="s">
        <v>35</v>
      </c>
      <c r="K742" t="s">
        <v>240</v>
      </c>
      <c r="L742" t="s">
        <v>1614</v>
      </c>
      <c r="M742">
        <v>3000</v>
      </c>
      <c r="N742">
        <v>62</v>
      </c>
      <c r="O742">
        <v>5021338</v>
      </c>
      <c r="P742">
        <v>6038</v>
      </c>
      <c r="Q742" t="s">
        <v>1615</v>
      </c>
      <c r="R742">
        <v>2633.58</v>
      </c>
      <c r="S742">
        <v>2633.58</v>
      </c>
      <c r="T742">
        <v>0</v>
      </c>
      <c r="U742" t="s">
        <v>34</v>
      </c>
    </row>
    <row r="743" spans="1:24" x14ac:dyDescent="0.25">
      <c r="A743">
        <f t="shared" ca="1" si="58"/>
        <v>0</v>
      </c>
      <c r="C743">
        <f t="shared" ca="1" si="59"/>
        <v>0</v>
      </c>
      <c r="D743" t="s">
        <v>35</v>
      </c>
      <c r="E743" t="s">
        <v>237</v>
      </c>
      <c r="F743">
        <v>239</v>
      </c>
      <c r="G743" t="s">
        <v>887</v>
      </c>
      <c r="H743" t="s">
        <v>1616</v>
      </c>
      <c r="I743" t="s">
        <v>30</v>
      </c>
      <c r="J743" t="s">
        <v>35</v>
      </c>
      <c r="K743" t="s">
        <v>240</v>
      </c>
      <c r="L743" t="s">
        <v>1617</v>
      </c>
      <c r="M743">
        <v>3000</v>
      </c>
      <c r="N743">
        <v>63</v>
      </c>
      <c r="O743">
        <v>5015377</v>
      </c>
      <c r="P743">
        <v>6364</v>
      </c>
      <c r="Q743" t="s">
        <v>331</v>
      </c>
      <c r="R743">
        <v>3109.57</v>
      </c>
      <c r="S743">
        <v>3109.57</v>
      </c>
      <c r="T743">
        <v>0</v>
      </c>
      <c r="U743" t="s">
        <v>34</v>
      </c>
    </row>
    <row r="744" spans="1:24" x14ac:dyDescent="0.25">
      <c r="A744">
        <f t="shared" ca="1" si="58"/>
        <v>0</v>
      </c>
      <c r="C744">
        <f t="shared" ca="1" si="59"/>
        <v>0</v>
      </c>
      <c r="D744" t="s">
        <v>355</v>
      </c>
      <c r="E744" t="s">
        <v>237</v>
      </c>
      <c r="F744">
        <v>16</v>
      </c>
      <c r="G744" t="s">
        <v>584</v>
      </c>
      <c r="H744" t="s">
        <v>1289</v>
      </c>
      <c r="I744" t="s">
        <v>30</v>
      </c>
      <c r="J744" t="s">
        <v>355</v>
      </c>
      <c r="K744" t="s">
        <v>240</v>
      </c>
      <c r="L744" t="s">
        <v>1618</v>
      </c>
      <c r="M744">
        <v>5000</v>
      </c>
      <c r="N744">
        <v>64</v>
      </c>
      <c r="O744">
        <v>5060062</v>
      </c>
      <c r="P744">
        <v>3238</v>
      </c>
      <c r="Q744" t="s">
        <v>1291</v>
      </c>
      <c r="R744">
        <v>1596.1</v>
      </c>
      <c r="S744">
        <v>1596.1</v>
      </c>
      <c r="T744">
        <v>0</v>
      </c>
      <c r="U744" t="s">
        <v>34</v>
      </c>
    </row>
    <row r="745" spans="1:24" x14ac:dyDescent="0.25">
      <c r="A745">
        <f t="shared" ca="1" si="58"/>
        <v>0</v>
      </c>
      <c r="C745">
        <f t="shared" ca="1" si="59"/>
        <v>0</v>
      </c>
      <c r="D745" t="s">
        <v>355</v>
      </c>
      <c r="E745" t="s">
        <v>237</v>
      </c>
      <c r="F745">
        <v>16</v>
      </c>
      <c r="G745" t="s">
        <v>584</v>
      </c>
      <c r="H745" t="s">
        <v>1619</v>
      </c>
      <c r="I745" t="s">
        <v>30</v>
      </c>
      <c r="J745" t="s">
        <v>355</v>
      </c>
      <c r="K745" t="s">
        <v>240</v>
      </c>
      <c r="L745" t="s">
        <v>1620</v>
      </c>
      <c r="M745">
        <v>6000</v>
      </c>
      <c r="N745">
        <v>65</v>
      </c>
    </row>
    <row r="746" spans="1:24" x14ac:dyDescent="0.25">
      <c r="A746">
        <f t="shared" ca="1" si="58"/>
        <v>0</v>
      </c>
      <c r="C746">
        <f t="shared" ca="1" si="59"/>
        <v>0</v>
      </c>
      <c r="D746" t="s">
        <v>355</v>
      </c>
      <c r="E746" t="s">
        <v>237</v>
      </c>
      <c r="F746">
        <v>80</v>
      </c>
      <c r="G746" t="s">
        <v>238</v>
      </c>
      <c r="H746" t="s">
        <v>1621</v>
      </c>
      <c r="I746" t="s">
        <v>30</v>
      </c>
      <c r="J746" t="s">
        <v>355</v>
      </c>
      <c r="K746" t="s">
        <v>240</v>
      </c>
      <c r="L746" t="s">
        <v>1622</v>
      </c>
      <c r="M746">
        <v>5000</v>
      </c>
      <c r="N746">
        <v>66</v>
      </c>
      <c r="O746">
        <v>5024969</v>
      </c>
      <c r="P746">
        <v>1197</v>
      </c>
      <c r="Q746" t="s">
        <v>1552</v>
      </c>
      <c r="R746">
        <v>3424.3</v>
      </c>
      <c r="S746">
        <v>3424.3</v>
      </c>
      <c r="T746">
        <v>0</v>
      </c>
      <c r="U746" t="s">
        <v>34</v>
      </c>
    </row>
    <row r="747" spans="1:24" x14ac:dyDescent="0.25">
      <c r="A747">
        <f t="shared" ca="1" si="58"/>
        <v>0</v>
      </c>
      <c r="C747">
        <f t="shared" ca="1" si="59"/>
        <v>0</v>
      </c>
      <c r="D747" t="s">
        <v>355</v>
      </c>
      <c r="E747" t="s">
        <v>237</v>
      </c>
      <c r="F747">
        <v>278</v>
      </c>
      <c r="G747" t="s">
        <v>584</v>
      </c>
      <c r="H747" t="s">
        <v>1623</v>
      </c>
      <c r="I747" t="s">
        <v>30</v>
      </c>
      <c r="J747" t="s">
        <v>355</v>
      </c>
      <c r="K747" t="s">
        <v>240</v>
      </c>
      <c r="L747" t="s">
        <v>1624</v>
      </c>
      <c r="M747">
        <v>10000</v>
      </c>
      <c r="N747">
        <v>67</v>
      </c>
    </row>
    <row r="748" spans="1:24" x14ac:dyDescent="0.25">
      <c r="A748">
        <f t="shared" ca="1" si="58"/>
        <v>0</v>
      </c>
      <c r="C748">
        <f t="shared" ca="1" si="59"/>
        <v>0</v>
      </c>
      <c r="D748" t="s">
        <v>35</v>
      </c>
      <c r="E748" t="s">
        <v>237</v>
      </c>
      <c r="F748">
        <v>1367</v>
      </c>
      <c r="G748" t="s">
        <v>258</v>
      </c>
      <c r="H748" t="s">
        <v>1625</v>
      </c>
      <c r="I748" t="s">
        <v>30</v>
      </c>
      <c r="J748" t="s">
        <v>35</v>
      </c>
      <c r="K748" t="s">
        <v>240</v>
      </c>
      <c r="L748" t="s">
        <v>1626</v>
      </c>
      <c r="M748">
        <v>5000</v>
      </c>
      <c r="N748">
        <v>68</v>
      </c>
      <c r="O748">
        <v>5024954</v>
      </c>
      <c r="P748">
        <v>1868</v>
      </c>
      <c r="Q748" t="s">
        <v>706</v>
      </c>
      <c r="R748">
        <v>3998.28</v>
      </c>
      <c r="S748">
        <v>3998.28</v>
      </c>
      <c r="T748">
        <v>0</v>
      </c>
      <c r="U748" t="s">
        <v>34</v>
      </c>
    </row>
    <row r="749" spans="1:24" x14ac:dyDescent="0.25">
      <c r="A749">
        <f t="shared" ca="1" si="58"/>
        <v>0</v>
      </c>
      <c r="C749">
        <f t="shared" ca="1" si="59"/>
        <v>0</v>
      </c>
      <c r="D749" t="s">
        <v>26</v>
      </c>
      <c r="E749" t="s">
        <v>237</v>
      </c>
      <c r="F749">
        <v>63</v>
      </c>
      <c r="G749" t="s">
        <v>238</v>
      </c>
      <c r="H749" t="s">
        <v>876</v>
      </c>
      <c r="I749" t="s">
        <v>30</v>
      </c>
      <c r="J749" t="s">
        <v>26</v>
      </c>
      <c r="K749" t="s">
        <v>240</v>
      </c>
      <c r="L749" t="s">
        <v>1627</v>
      </c>
      <c r="M749">
        <v>5000</v>
      </c>
      <c r="N749">
        <v>69</v>
      </c>
      <c r="O749">
        <v>5084258</v>
      </c>
      <c r="P749">
        <v>81</v>
      </c>
      <c r="Q749" t="s">
        <v>102</v>
      </c>
      <c r="R749">
        <v>3948.3</v>
      </c>
      <c r="T749">
        <v>3948.3</v>
      </c>
    </row>
    <row r="750" spans="1:24" x14ac:dyDescent="0.25">
      <c r="A750">
        <f t="shared" ca="1" si="58"/>
        <v>0</v>
      </c>
      <c r="C750">
        <f t="shared" ca="1" si="59"/>
        <v>0</v>
      </c>
      <c r="D750" t="s">
        <v>74</v>
      </c>
      <c r="E750" t="s">
        <v>237</v>
      </c>
      <c r="F750">
        <v>2087</v>
      </c>
      <c r="G750" t="s">
        <v>584</v>
      </c>
      <c r="H750" t="s">
        <v>1628</v>
      </c>
      <c r="I750" t="s">
        <v>30</v>
      </c>
      <c r="J750" t="s">
        <v>74</v>
      </c>
      <c r="K750" t="s">
        <v>240</v>
      </c>
      <c r="L750" t="s">
        <v>1629</v>
      </c>
      <c r="M750">
        <v>6000</v>
      </c>
      <c r="N750">
        <v>71</v>
      </c>
      <c r="X750" t="s">
        <v>1630</v>
      </c>
    </row>
    <row r="751" spans="1:24" x14ac:dyDescent="0.25">
      <c r="A751">
        <f t="shared" ref="A751:A782" ca="1" si="60">+ Cmde</f>
        <v>0</v>
      </c>
      <c r="C751">
        <f t="shared" ref="C751:C782" ca="1" si="61">+ Devis</f>
        <v>0</v>
      </c>
      <c r="D751" t="s">
        <v>355</v>
      </c>
      <c r="E751" t="s">
        <v>237</v>
      </c>
      <c r="F751">
        <v>374</v>
      </c>
      <c r="G751" t="s">
        <v>884</v>
      </c>
      <c r="H751" t="s">
        <v>1631</v>
      </c>
      <c r="I751" t="s">
        <v>30</v>
      </c>
      <c r="J751" t="s">
        <v>355</v>
      </c>
      <c r="K751" t="s">
        <v>240</v>
      </c>
      <c r="L751" t="s">
        <v>1632</v>
      </c>
      <c r="M751">
        <v>6000</v>
      </c>
      <c r="N751">
        <v>72</v>
      </c>
      <c r="X751" t="s">
        <v>1633</v>
      </c>
    </row>
    <row r="752" spans="1:24" x14ac:dyDescent="0.25">
      <c r="A752">
        <f t="shared" ca="1" si="60"/>
        <v>0</v>
      </c>
      <c r="C752">
        <f t="shared" ca="1" si="61"/>
        <v>0</v>
      </c>
      <c r="D752" t="s">
        <v>79</v>
      </c>
      <c r="E752" t="s">
        <v>237</v>
      </c>
      <c r="F752">
        <v>673</v>
      </c>
      <c r="G752" t="s">
        <v>584</v>
      </c>
      <c r="H752" t="s">
        <v>1634</v>
      </c>
      <c r="I752" t="s">
        <v>30</v>
      </c>
      <c r="J752" t="s">
        <v>79</v>
      </c>
      <c r="K752" t="s">
        <v>240</v>
      </c>
      <c r="L752" t="s">
        <v>1635</v>
      </c>
      <c r="M752">
        <v>7000</v>
      </c>
      <c r="N752">
        <v>73</v>
      </c>
      <c r="O752">
        <v>5060478</v>
      </c>
      <c r="P752">
        <v>2391</v>
      </c>
      <c r="Q752" t="s">
        <v>314</v>
      </c>
      <c r="R752">
        <v>8125.59</v>
      </c>
      <c r="S752">
        <v>8125.59</v>
      </c>
      <c r="T752">
        <v>0</v>
      </c>
      <c r="U752" t="s">
        <v>34</v>
      </c>
    </row>
    <row r="753" spans="1:24" x14ac:dyDescent="0.25">
      <c r="A753">
        <f t="shared" ca="1" si="60"/>
        <v>0</v>
      </c>
      <c r="C753">
        <f t="shared" ca="1" si="61"/>
        <v>0</v>
      </c>
      <c r="D753" t="s">
        <v>35</v>
      </c>
      <c r="E753" t="s">
        <v>237</v>
      </c>
      <c r="F753">
        <v>67</v>
      </c>
      <c r="G753" t="s">
        <v>258</v>
      </c>
      <c r="H753" t="s">
        <v>1636</v>
      </c>
      <c r="I753" t="s">
        <v>30</v>
      </c>
      <c r="J753" t="s">
        <v>35</v>
      </c>
      <c r="K753" t="s">
        <v>240</v>
      </c>
      <c r="L753" t="s">
        <v>1637</v>
      </c>
      <c r="M753">
        <v>10000</v>
      </c>
      <c r="N753">
        <v>74</v>
      </c>
      <c r="O753">
        <v>5018160</v>
      </c>
      <c r="P753">
        <v>2391</v>
      </c>
      <c r="Q753" t="s">
        <v>314</v>
      </c>
      <c r="R753">
        <v>9000.57</v>
      </c>
      <c r="S753">
        <v>9000.57</v>
      </c>
    </row>
    <row r="754" spans="1:24" x14ac:dyDescent="0.25">
      <c r="A754">
        <f t="shared" ca="1" si="60"/>
        <v>0</v>
      </c>
      <c r="C754">
        <f t="shared" ca="1" si="61"/>
        <v>0</v>
      </c>
      <c r="D754" t="s">
        <v>74</v>
      </c>
      <c r="E754" t="s">
        <v>237</v>
      </c>
      <c r="F754">
        <v>1842</v>
      </c>
      <c r="G754" t="s">
        <v>887</v>
      </c>
      <c r="H754" t="s">
        <v>1638</v>
      </c>
      <c r="I754" t="s">
        <v>30</v>
      </c>
      <c r="J754" t="s">
        <v>74</v>
      </c>
      <c r="K754" t="s">
        <v>240</v>
      </c>
      <c r="L754" t="s">
        <v>1639</v>
      </c>
      <c r="M754">
        <v>10000</v>
      </c>
      <c r="N754">
        <v>75</v>
      </c>
      <c r="X754" t="s">
        <v>1640</v>
      </c>
    </row>
    <row r="755" spans="1:24" x14ac:dyDescent="0.25">
      <c r="A755">
        <f t="shared" ca="1" si="60"/>
        <v>0</v>
      </c>
      <c r="C755">
        <f t="shared" ca="1" si="61"/>
        <v>0</v>
      </c>
      <c r="D755" t="s">
        <v>355</v>
      </c>
      <c r="E755" t="s">
        <v>237</v>
      </c>
      <c r="F755">
        <v>84</v>
      </c>
      <c r="G755" t="s">
        <v>580</v>
      </c>
      <c r="H755" t="s">
        <v>1292</v>
      </c>
      <c r="I755" t="s">
        <v>30</v>
      </c>
      <c r="J755" t="s">
        <v>355</v>
      </c>
      <c r="K755" t="s">
        <v>240</v>
      </c>
      <c r="L755" t="s">
        <v>1641</v>
      </c>
      <c r="M755">
        <v>15000</v>
      </c>
      <c r="N755">
        <v>76</v>
      </c>
      <c r="O755">
        <v>5021161</v>
      </c>
      <c r="P755">
        <v>2391</v>
      </c>
      <c r="Q755" t="s">
        <v>314</v>
      </c>
      <c r="R755">
        <v>6597.43</v>
      </c>
      <c r="S755">
        <v>6597.43</v>
      </c>
      <c r="T755">
        <v>0</v>
      </c>
      <c r="U755" t="s">
        <v>34</v>
      </c>
    </row>
    <row r="756" spans="1:24" x14ac:dyDescent="0.25">
      <c r="A756">
        <f t="shared" ca="1" si="60"/>
        <v>0</v>
      </c>
      <c r="C756">
        <f t="shared" ca="1" si="61"/>
        <v>0</v>
      </c>
      <c r="D756" t="s">
        <v>79</v>
      </c>
      <c r="E756" t="s">
        <v>237</v>
      </c>
      <c r="F756">
        <v>1273</v>
      </c>
      <c r="G756" t="s">
        <v>258</v>
      </c>
      <c r="H756" t="s">
        <v>259</v>
      </c>
      <c r="I756" t="s">
        <v>30</v>
      </c>
      <c r="J756" t="s">
        <v>79</v>
      </c>
      <c r="K756" t="s">
        <v>240</v>
      </c>
      <c r="L756" t="s">
        <v>1606</v>
      </c>
      <c r="M756">
        <v>15000</v>
      </c>
      <c r="N756">
        <v>77</v>
      </c>
      <c r="O756">
        <v>5034176</v>
      </c>
      <c r="P756">
        <v>7669</v>
      </c>
      <c r="Q756" t="s">
        <v>261</v>
      </c>
      <c r="R756">
        <v>940.72</v>
      </c>
      <c r="T756">
        <v>940.72</v>
      </c>
    </row>
    <row r="757" spans="1:24" x14ac:dyDescent="0.25">
      <c r="A757">
        <f t="shared" ca="1" si="60"/>
        <v>0</v>
      </c>
      <c r="C757">
        <f t="shared" ca="1" si="61"/>
        <v>0</v>
      </c>
      <c r="D757" t="s">
        <v>26</v>
      </c>
      <c r="E757" t="s">
        <v>237</v>
      </c>
      <c r="F757">
        <v>84</v>
      </c>
      <c r="G757" t="s">
        <v>580</v>
      </c>
      <c r="H757" t="s">
        <v>1642</v>
      </c>
      <c r="I757" t="s">
        <v>30</v>
      </c>
      <c r="J757" t="s">
        <v>26</v>
      </c>
      <c r="K757" t="s">
        <v>240</v>
      </c>
      <c r="L757" t="s">
        <v>1643</v>
      </c>
      <c r="M757">
        <v>10000</v>
      </c>
      <c r="N757">
        <v>78</v>
      </c>
    </row>
    <row r="758" spans="1:24" x14ac:dyDescent="0.25">
      <c r="A758">
        <f t="shared" ca="1" si="60"/>
        <v>0</v>
      </c>
      <c r="C758">
        <f t="shared" ca="1" si="61"/>
        <v>0</v>
      </c>
      <c r="D758" t="s">
        <v>26</v>
      </c>
      <c r="E758" t="s">
        <v>237</v>
      </c>
      <c r="F758">
        <v>1013</v>
      </c>
      <c r="G758" t="s">
        <v>884</v>
      </c>
      <c r="H758" t="s">
        <v>1644</v>
      </c>
      <c r="I758" t="s">
        <v>30</v>
      </c>
      <c r="J758" t="s">
        <v>26</v>
      </c>
      <c r="K758" t="s">
        <v>240</v>
      </c>
      <c r="L758" t="s">
        <v>1645</v>
      </c>
      <c r="M758">
        <v>20000</v>
      </c>
      <c r="N758">
        <v>79</v>
      </c>
      <c r="O758">
        <v>5009209</v>
      </c>
      <c r="P758">
        <v>6715</v>
      </c>
      <c r="Q758" t="s">
        <v>1646</v>
      </c>
      <c r="R758">
        <v>13026.86</v>
      </c>
      <c r="T758">
        <v>13026.86</v>
      </c>
    </row>
    <row r="759" spans="1:24" x14ac:dyDescent="0.25">
      <c r="A759">
        <f t="shared" ca="1" si="60"/>
        <v>0</v>
      </c>
      <c r="C759">
        <f t="shared" ca="1" si="61"/>
        <v>0</v>
      </c>
      <c r="D759" t="s">
        <v>26</v>
      </c>
      <c r="E759" t="s">
        <v>237</v>
      </c>
      <c r="F759">
        <v>322</v>
      </c>
      <c r="G759" t="s">
        <v>584</v>
      </c>
      <c r="H759" t="s">
        <v>1647</v>
      </c>
      <c r="I759" t="s">
        <v>30</v>
      </c>
      <c r="J759" t="s">
        <v>26</v>
      </c>
      <c r="K759" t="s">
        <v>240</v>
      </c>
      <c r="L759" t="s">
        <v>1648</v>
      </c>
      <c r="M759">
        <v>7000</v>
      </c>
      <c r="N759">
        <v>81</v>
      </c>
      <c r="O759">
        <v>5055253</v>
      </c>
      <c r="P759">
        <v>3238</v>
      </c>
      <c r="Q759" t="s">
        <v>1291</v>
      </c>
      <c r="R759">
        <v>4342.8</v>
      </c>
      <c r="S759">
        <v>4342.8</v>
      </c>
      <c r="T759">
        <v>0</v>
      </c>
      <c r="U759" t="s">
        <v>34</v>
      </c>
    </row>
    <row r="760" spans="1:24" x14ac:dyDescent="0.25">
      <c r="A760">
        <f t="shared" ca="1" si="60"/>
        <v>0</v>
      </c>
      <c r="C760">
        <f t="shared" ca="1" si="61"/>
        <v>0</v>
      </c>
      <c r="D760" t="s">
        <v>88</v>
      </c>
      <c r="E760" t="s">
        <v>237</v>
      </c>
      <c r="F760">
        <v>26</v>
      </c>
      <c r="G760" t="s">
        <v>884</v>
      </c>
      <c r="H760" t="s">
        <v>1649</v>
      </c>
      <c r="I760" t="s">
        <v>30</v>
      </c>
      <c r="J760" t="s">
        <v>88</v>
      </c>
      <c r="K760" t="s">
        <v>240</v>
      </c>
      <c r="L760" t="s">
        <v>1650</v>
      </c>
      <c r="M760">
        <v>21000</v>
      </c>
      <c r="N760">
        <v>82</v>
      </c>
      <c r="X760" t="s">
        <v>212</v>
      </c>
    </row>
    <row r="761" spans="1:24" x14ac:dyDescent="0.25">
      <c r="A761">
        <f t="shared" ca="1" si="60"/>
        <v>0</v>
      </c>
      <c r="C761">
        <f t="shared" ca="1" si="61"/>
        <v>0</v>
      </c>
      <c r="D761" t="s">
        <v>355</v>
      </c>
      <c r="E761" t="s">
        <v>237</v>
      </c>
      <c r="F761">
        <v>441</v>
      </c>
      <c r="G761" t="s">
        <v>884</v>
      </c>
      <c r="H761" t="s">
        <v>1070</v>
      </c>
      <c r="I761" t="s">
        <v>30</v>
      </c>
      <c r="J761" t="s">
        <v>355</v>
      </c>
      <c r="K761" t="s">
        <v>240</v>
      </c>
      <c r="L761" t="s">
        <v>1651</v>
      </c>
      <c r="M761">
        <v>20000</v>
      </c>
      <c r="N761">
        <v>83</v>
      </c>
      <c r="O761">
        <v>5042919</v>
      </c>
      <c r="P761">
        <v>6985</v>
      </c>
      <c r="Q761" t="s">
        <v>587</v>
      </c>
    </row>
    <row r="762" spans="1:24" x14ac:dyDescent="0.25">
      <c r="A762">
        <f t="shared" ca="1" si="60"/>
        <v>0</v>
      </c>
      <c r="C762">
        <f t="shared" ca="1" si="61"/>
        <v>0</v>
      </c>
      <c r="D762" t="s">
        <v>35</v>
      </c>
      <c r="E762" t="s">
        <v>237</v>
      </c>
      <c r="F762">
        <v>79</v>
      </c>
      <c r="G762" t="s">
        <v>884</v>
      </c>
      <c r="H762" t="s">
        <v>1652</v>
      </c>
      <c r="I762" t="s">
        <v>30</v>
      </c>
      <c r="J762" t="s">
        <v>35</v>
      </c>
      <c r="K762" t="s">
        <v>240</v>
      </c>
      <c r="L762" t="s">
        <v>1653</v>
      </c>
      <c r="M762">
        <v>40000</v>
      </c>
      <c r="N762">
        <v>84</v>
      </c>
      <c r="O762">
        <v>5107846</v>
      </c>
      <c r="P762">
        <v>911</v>
      </c>
      <c r="Q762" t="s">
        <v>621</v>
      </c>
      <c r="R762">
        <v>30247.56</v>
      </c>
      <c r="T762">
        <v>30247.56</v>
      </c>
      <c r="X762" t="s">
        <v>1654</v>
      </c>
    </row>
    <row r="763" spans="1:24" x14ac:dyDescent="0.25">
      <c r="A763">
        <f t="shared" ca="1" si="60"/>
        <v>0</v>
      </c>
      <c r="C763">
        <f t="shared" ca="1" si="61"/>
        <v>0</v>
      </c>
      <c r="D763" t="s">
        <v>74</v>
      </c>
      <c r="E763" t="s">
        <v>237</v>
      </c>
      <c r="F763">
        <v>1308</v>
      </c>
      <c r="G763" t="s">
        <v>887</v>
      </c>
      <c r="H763" t="s">
        <v>1655</v>
      </c>
      <c r="I763" t="s">
        <v>30</v>
      </c>
      <c r="J763" t="s">
        <v>74</v>
      </c>
      <c r="K763" t="s">
        <v>240</v>
      </c>
      <c r="L763" t="s">
        <v>1656</v>
      </c>
      <c r="M763">
        <v>35000</v>
      </c>
      <c r="N763">
        <v>85</v>
      </c>
      <c r="O763">
        <v>5024857</v>
      </c>
      <c r="P763">
        <v>4921</v>
      </c>
      <c r="Q763" t="s">
        <v>94</v>
      </c>
      <c r="R763">
        <v>35862.879999999997</v>
      </c>
      <c r="S763">
        <v>35862.879999999997</v>
      </c>
      <c r="T763">
        <v>0</v>
      </c>
      <c r="U763" t="s">
        <v>34</v>
      </c>
    </row>
    <row r="764" spans="1:24" x14ac:dyDescent="0.25">
      <c r="A764">
        <f t="shared" ca="1" si="60"/>
        <v>0</v>
      </c>
      <c r="C764">
        <f t="shared" ca="1" si="61"/>
        <v>0</v>
      </c>
      <c r="D764" t="s">
        <v>88</v>
      </c>
      <c r="E764" t="s">
        <v>237</v>
      </c>
      <c r="F764">
        <v>1011</v>
      </c>
      <c r="G764" t="s">
        <v>884</v>
      </c>
      <c r="H764" t="s">
        <v>885</v>
      </c>
      <c r="I764" t="s">
        <v>30</v>
      </c>
      <c r="J764" t="s">
        <v>88</v>
      </c>
      <c r="K764" t="s">
        <v>240</v>
      </c>
      <c r="L764" t="s">
        <v>1657</v>
      </c>
      <c r="M764">
        <v>55000</v>
      </c>
      <c r="N764">
        <v>87</v>
      </c>
      <c r="O764">
        <v>5044764</v>
      </c>
      <c r="P764">
        <v>5978</v>
      </c>
      <c r="Q764" t="s">
        <v>54</v>
      </c>
    </row>
    <row r="765" spans="1:24" x14ac:dyDescent="0.25">
      <c r="A765">
        <f t="shared" ca="1" si="60"/>
        <v>0</v>
      </c>
      <c r="C765">
        <f t="shared" ca="1" si="61"/>
        <v>0</v>
      </c>
      <c r="D765" t="s">
        <v>79</v>
      </c>
      <c r="E765" t="s">
        <v>237</v>
      </c>
      <c r="F765">
        <v>69</v>
      </c>
      <c r="G765" t="s">
        <v>258</v>
      </c>
      <c r="H765" t="s">
        <v>1658</v>
      </c>
      <c r="I765" t="s">
        <v>30</v>
      </c>
      <c r="J765" t="s">
        <v>79</v>
      </c>
      <c r="K765" t="s">
        <v>240</v>
      </c>
      <c r="L765" t="s">
        <v>1659</v>
      </c>
      <c r="M765">
        <v>80000</v>
      </c>
      <c r="N765">
        <v>88</v>
      </c>
      <c r="X765" t="s">
        <v>1660</v>
      </c>
    </row>
    <row r="766" spans="1:24" x14ac:dyDescent="0.25">
      <c r="A766">
        <f t="shared" ca="1" si="60"/>
        <v>0</v>
      </c>
      <c r="C766">
        <f t="shared" ca="1" si="61"/>
        <v>0</v>
      </c>
      <c r="D766" t="s">
        <v>26</v>
      </c>
      <c r="E766" t="s">
        <v>237</v>
      </c>
      <c r="F766">
        <v>84</v>
      </c>
      <c r="G766" t="s">
        <v>580</v>
      </c>
      <c r="H766" t="s">
        <v>1661</v>
      </c>
      <c r="I766" t="s">
        <v>30</v>
      </c>
      <c r="J766" t="s">
        <v>26</v>
      </c>
      <c r="K766" t="s">
        <v>240</v>
      </c>
      <c r="L766" t="s">
        <v>1662</v>
      </c>
      <c r="M766">
        <v>80000</v>
      </c>
      <c r="N766">
        <v>89</v>
      </c>
      <c r="O766">
        <v>5067061</v>
      </c>
      <c r="P766">
        <v>22203</v>
      </c>
      <c r="Q766" t="s">
        <v>1663</v>
      </c>
    </row>
    <row r="767" spans="1:24" x14ac:dyDescent="0.25">
      <c r="A767">
        <f t="shared" ca="1" si="60"/>
        <v>0</v>
      </c>
      <c r="C767">
        <f t="shared" ca="1" si="61"/>
        <v>0</v>
      </c>
      <c r="D767" t="s">
        <v>196</v>
      </c>
      <c r="E767" t="s">
        <v>64</v>
      </c>
      <c r="F767">
        <v>119</v>
      </c>
      <c r="G767" t="s">
        <v>588</v>
      </c>
      <c r="H767" t="s">
        <v>1083</v>
      </c>
      <c r="I767" t="s">
        <v>187</v>
      </c>
      <c r="J767" t="s">
        <v>196</v>
      </c>
      <c r="K767" t="s">
        <v>67</v>
      </c>
      <c r="L767" t="s">
        <v>1664</v>
      </c>
      <c r="M767">
        <v>5000</v>
      </c>
      <c r="N767">
        <v>90</v>
      </c>
      <c r="O767">
        <v>5082372</v>
      </c>
      <c r="P767">
        <v>1971</v>
      </c>
      <c r="Q767" t="s">
        <v>429</v>
      </c>
      <c r="R767">
        <v>2700</v>
      </c>
      <c r="S767">
        <v>2700</v>
      </c>
      <c r="T767">
        <v>0</v>
      </c>
      <c r="U767" t="s">
        <v>34</v>
      </c>
      <c r="V767" s="1">
        <v>46181</v>
      </c>
      <c r="W767" s="1">
        <v>46188</v>
      </c>
    </row>
    <row r="768" spans="1:24" x14ac:dyDescent="0.25">
      <c r="A768">
        <f t="shared" ca="1" si="60"/>
        <v>0</v>
      </c>
      <c r="C768">
        <f t="shared" ca="1" si="61"/>
        <v>0</v>
      </c>
      <c r="D768" t="s">
        <v>196</v>
      </c>
      <c r="E768" t="s">
        <v>64</v>
      </c>
      <c r="F768">
        <v>91</v>
      </c>
      <c r="G768" t="s">
        <v>311</v>
      </c>
      <c r="H768" t="s">
        <v>1665</v>
      </c>
      <c r="I768" t="s">
        <v>187</v>
      </c>
      <c r="J768" t="s">
        <v>196</v>
      </c>
      <c r="K768" t="s">
        <v>67</v>
      </c>
      <c r="L768" t="s">
        <v>1666</v>
      </c>
      <c r="M768">
        <v>10000</v>
      </c>
      <c r="N768">
        <v>91</v>
      </c>
    </row>
    <row r="769" spans="1:24" x14ac:dyDescent="0.25">
      <c r="A769">
        <f t="shared" ca="1" si="60"/>
        <v>0</v>
      </c>
      <c r="C769">
        <f t="shared" ca="1" si="61"/>
        <v>0</v>
      </c>
      <c r="D769" t="s">
        <v>196</v>
      </c>
      <c r="E769" t="s">
        <v>64</v>
      </c>
      <c r="F769">
        <v>121</v>
      </c>
      <c r="G769" t="s">
        <v>311</v>
      </c>
      <c r="H769" t="s">
        <v>322</v>
      </c>
      <c r="I769" t="s">
        <v>187</v>
      </c>
      <c r="J769" t="s">
        <v>196</v>
      </c>
      <c r="K769" t="s">
        <v>67</v>
      </c>
      <c r="L769" t="s">
        <v>1667</v>
      </c>
      <c r="M769">
        <v>5000</v>
      </c>
      <c r="N769">
        <v>92</v>
      </c>
      <c r="O769">
        <v>5050253</v>
      </c>
      <c r="P769">
        <v>2391</v>
      </c>
      <c r="Q769" t="s">
        <v>314</v>
      </c>
      <c r="R769">
        <v>4521.67</v>
      </c>
      <c r="S769">
        <v>4521.67</v>
      </c>
      <c r="T769">
        <v>0</v>
      </c>
      <c r="U769" t="s">
        <v>34</v>
      </c>
      <c r="V769" s="1">
        <v>46135</v>
      </c>
      <c r="W769" s="1">
        <v>46108</v>
      </c>
    </row>
    <row r="770" spans="1:24" x14ac:dyDescent="0.25">
      <c r="A770">
        <f t="shared" ca="1" si="60"/>
        <v>0</v>
      </c>
      <c r="C770">
        <f t="shared" ca="1" si="61"/>
        <v>0</v>
      </c>
      <c r="D770" t="s">
        <v>285</v>
      </c>
      <c r="E770" t="s">
        <v>64</v>
      </c>
      <c r="F770">
        <v>121</v>
      </c>
      <c r="G770" t="s">
        <v>311</v>
      </c>
      <c r="H770" t="s">
        <v>1668</v>
      </c>
      <c r="I770" t="s">
        <v>187</v>
      </c>
      <c r="J770" t="s">
        <v>285</v>
      </c>
      <c r="K770" t="s">
        <v>67</v>
      </c>
      <c r="L770" t="s">
        <v>1669</v>
      </c>
      <c r="M770">
        <v>5000</v>
      </c>
      <c r="N770">
        <v>93</v>
      </c>
      <c r="O770">
        <v>5060646</v>
      </c>
      <c r="P770">
        <v>2391</v>
      </c>
      <c r="Q770" t="s">
        <v>314</v>
      </c>
      <c r="R770">
        <v>3374.58</v>
      </c>
      <c r="S770">
        <v>3374.58</v>
      </c>
      <c r="T770">
        <v>0</v>
      </c>
      <c r="U770" t="s">
        <v>40</v>
      </c>
      <c r="V770" s="1">
        <v>46128</v>
      </c>
      <c r="W770" s="1">
        <v>46128</v>
      </c>
    </row>
    <row r="771" spans="1:24" x14ac:dyDescent="0.25">
      <c r="A771">
        <f t="shared" ca="1" si="60"/>
        <v>0</v>
      </c>
      <c r="C771">
        <f t="shared" ca="1" si="61"/>
        <v>0</v>
      </c>
      <c r="D771" t="s">
        <v>221</v>
      </c>
      <c r="E771" t="s">
        <v>64</v>
      </c>
      <c r="F771">
        <v>141</v>
      </c>
      <c r="G771" t="s">
        <v>605</v>
      </c>
      <c r="H771" t="s">
        <v>1670</v>
      </c>
      <c r="I771" t="s">
        <v>187</v>
      </c>
      <c r="J771" t="s">
        <v>221</v>
      </c>
      <c r="K771" t="s">
        <v>67</v>
      </c>
      <c r="L771" t="s">
        <v>1671</v>
      </c>
      <c r="M771">
        <v>5000</v>
      </c>
      <c r="N771">
        <v>94</v>
      </c>
      <c r="O771">
        <v>5117653</v>
      </c>
      <c r="P771">
        <v>8598</v>
      </c>
      <c r="Q771" t="s">
        <v>78</v>
      </c>
      <c r="R771">
        <v>2167</v>
      </c>
      <c r="T771">
        <v>2167</v>
      </c>
    </row>
    <row r="772" spans="1:24" x14ac:dyDescent="0.25">
      <c r="A772">
        <f t="shared" ca="1" si="60"/>
        <v>0</v>
      </c>
      <c r="C772">
        <f t="shared" ca="1" si="61"/>
        <v>0</v>
      </c>
      <c r="D772" t="s">
        <v>221</v>
      </c>
      <c r="E772" t="s">
        <v>64</v>
      </c>
      <c r="F772">
        <v>339</v>
      </c>
      <c r="G772" t="s">
        <v>65</v>
      </c>
      <c r="H772" t="s">
        <v>1672</v>
      </c>
      <c r="I772" t="s">
        <v>187</v>
      </c>
      <c r="J772" t="s">
        <v>221</v>
      </c>
      <c r="K772" t="s">
        <v>67</v>
      </c>
      <c r="L772" t="s">
        <v>1673</v>
      </c>
      <c r="M772">
        <v>5000</v>
      </c>
      <c r="N772">
        <v>95</v>
      </c>
      <c r="O772">
        <v>5122160</v>
      </c>
      <c r="P772">
        <v>2391</v>
      </c>
      <c r="Q772" t="s">
        <v>314</v>
      </c>
      <c r="R772">
        <v>2163.98</v>
      </c>
      <c r="T772">
        <v>2163.98</v>
      </c>
    </row>
    <row r="773" spans="1:24" x14ac:dyDescent="0.25">
      <c r="A773">
        <f t="shared" ca="1" si="60"/>
        <v>0</v>
      </c>
      <c r="C773">
        <f t="shared" ca="1" si="61"/>
        <v>0</v>
      </c>
      <c r="D773" t="s">
        <v>196</v>
      </c>
      <c r="E773" t="s">
        <v>64</v>
      </c>
      <c r="F773">
        <v>955</v>
      </c>
      <c r="G773" t="s">
        <v>1217</v>
      </c>
      <c r="H773" t="s">
        <v>1370</v>
      </c>
      <c r="I773" t="s">
        <v>187</v>
      </c>
      <c r="J773" t="s">
        <v>196</v>
      </c>
      <c r="K773" t="s">
        <v>67</v>
      </c>
      <c r="L773" t="s">
        <v>1674</v>
      </c>
      <c r="M773">
        <v>7000</v>
      </c>
      <c r="N773">
        <v>96</v>
      </c>
      <c r="O773">
        <v>5016230</v>
      </c>
      <c r="P773">
        <v>7111</v>
      </c>
      <c r="Q773" t="s">
        <v>754</v>
      </c>
      <c r="R773">
        <v>1783.2</v>
      </c>
      <c r="T773">
        <v>1783.2</v>
      </c>
      <c r="U773" t="s">
        <v>40</v>
      </c>
      <c r="V773" s="1">
        <v>46128</v>
      </c>
      <c r="W773" s="1">
        <v>46142</v>
      </c>
    </row>
    <row r="774" spans="1:24" x14ac:dyDescent="0.25">
      <c r="A774">
        <f t="shared" ca="1" si="60"/>
        <v>0</v>
      </c>
      <c r="C774">
        <f t="shared" ca="1" si="61"/>
        <v>0</v>
      </c>
      <c r="D774" t="s">
        <v>196</v>
      </c>
      <c r="E774" t="s">
        <v>64</v>
      </c>
      <c r="F774">
        <v>663</v>
      </c>
      <c r="G774" t="s">
        <v>605</v>
      </c>
      <c r="H774" t="s">
        <v>1675</v>
      </c>
      <c r="I774" t="s">
        <v>187</v>
      </c>
      <c r="J774" t="s">
        <v>196</v>
      </c>
      <c r="K774" t="s">
        <v>67</v>
      </c>
      <c r="L774" t="s">
        <v>1676</v>
      </c>
      <c r="M774">
        <v>5000</v>
      </c>
      <c r="N774">
        <v>98</v>
      </c>
    </row>
    <row r="775" spans="1:24" x14ac:dyDescent="0.25">
      <c r="A775">
        <f t="shared" ca="1" si="60"/>
        <v>0</v>
      </c>
      <c r="C775">
        <f t="shared" ca="1" si="61"/>
        <v>0</v>
      </c>
      <c r="D775" t="s">
        <v>196</v>
      </c>
      <c r="E775" t="s">
        <v>64</v>
      </c>
      <c r="F775">
        <v>1961</v>
      </c>
      <c r="G775" t="s">
        <v>1677</v>
      </c>
      <c r="H775" t="s">
        <v>1678</v>
      </c>
      <c r="I775" t="s">
        <v>187</v>
      </c>
      <c r="J775" t="s">
        <v>196</v>
      </c>
      <c r="K775" t="s">
        <v>67</v>
      </c>
      <c r="L775" t="s">
        <v>1679</v>
      </c>
      <c r="M775">
        <v>5000</v>
      </c>
      <c r="N775">
        <v>99</v>
      </c>
      <c r="O775">
        <v>5071037</v>
      </c>
      <c r="P775">
        <v>815</v>
      </c>
      <c r="Q775" t="s">
        <v>1680</v>
      </c>
      <c r="R775">
        <v>2367.1999999999998</v>
      </c>
      <c r="S775">
        <v>2367.1999999999998</v>
      </c>
      <c r="T775">
        <v>0</v>
      </c>
      <c r="U775" t="s">
        <v>34</v>
      </c>
      <c r="V775" s="1">
        <v>46196</v>
      </c>
      <c r="W775" s="1">
        <v>46198</v>
      </c>
      <c r="X775" t="s">
        <v>1681</v>
      </c>
    </row>
    <row r="776" spans="1:24" x14ac:dyDescent="0.25">
      <c r="A776">
        <f t="shared" ca="1" si="60"/>
        <v>0</v>
      </c>
      <c r="C776">
        <f t="shared" ca="1" si="61"/>
        <v>0</v>
      </c>
      <c r="D776" t="s">
        <v>196</v>
      </c>
      <c r="E776" t="s">
        <v>64</v>
      </c>
      <c r="F776">
        <v>253</v>
      </c>
      <c r="G776" t="s">
        <v>1217</v>
      </c>
      <c r="H776" t="s">
        <v>1682</v>
      </c>
      <c r="I776" t="s">
        <v>187</v>
      </c>
      <c r="J776" t="s">
        <v>196</v>
      </c>
      <c r="K776" t="s">
        <v>67</v>
      </c>
      <c r="L776" t="s">
        <v>1683</v>
      </c>
      <c r="M776">
        <v>5000</v>
      </c>
      <c r="N776">
        <v>100</v>
      </c>
    </row>
    <row r="777" spans="1:24" x14ac:dyDescent="0.25">
      <c r="A777">
        <f t="shared" ca="1" si="60"/>
        <v>0</v>
      </c>
      <c r="C777">
        <f t="shared" ca="1" si="61"/>
        <v>0</v>
      </c>
      <c r="D777" t="s">
        <v>196</v>
      </c>
      <c r="E777" t="s">
        <v>64</v>
      </c>
      <c r="F777">
        <v>377</v>
      </c>
      <c r="G777" t="s">
        <v>1217</v>
      </c>
      <c r="H777" t="s">
        <v>1684</v>
      </c>
      <c r="I777" t="s">
        <v>187</v>
      </c>
      <c r="J777" t="s">
        <v>196</v>
      </c>
      <c r="K777" t="s">
        <v>67</v>
      </c>
      <c r="L777" t="s">
        <v>1685</v>
      </c>
      <c r="M777">
        <v>5000</v>
      </c>
      <c r="N777">
        <v>101</v>
      </c>
      <c r="O777">
        <v>5084872</v>
      </c>
      <c r="P777">
        <v>7111</v>
      </c>
      <c r="Q777" t="s">
        <v>754</v>
      </c>
      <c r="R777">
        <v>2493.6</v>
      </c>
      <c r="T777">
        <v>2493.6</v>
      </c>
      <c r="U777" t="s">
        <v>107</v>
      </c>
      <c r="V777" s="1">
        <v>46305</v>
      </c>
      <c r="W777" s="1">
        <v>46325</v>
      </c>
      <c r="X777" t="s">
        <v>1350</v>
      </c>
    </row>
    <row r="778" spans="1:24" x14ac:dyDescent="0.25">
      <c r="A778">
        <f t="shared" ca="1" si="60"/>
        <v>0</v>
      </c>
      <c r="C778">
        <f t="shared" ca="1" si="61"/>
        <v>0</v>
      </c>
      <c r="D778" t="s">
        <v>196</v>
      </c>
      <c r="E778" t="s">
        <v>64</v>
      </c>
      <c r="F778">
        <v>377</v>
      </c>
      <c r="G778" t="s">
        <v>1217</v>
      </c>
      <c r="H778" t="s">
        <v>1686</v>
      </c>
      <c r="I778" t="s">
        <v>187</v>
      </c>
      <c r="J778" t="s">
        <v>196</v>
      </c>
      <c r="K778" t="s">
        <v>67</v>
      </c>
      <c r="L778" t="s">
        <v>1687</v>
      </c>
      <c r="M778">
        <v>10000</v>
      </c>
      <c r="N778">
        <v>102</v>
      </c>
      <c r="O778">
        <v>5073180</v>
      </c>
      <c r="P778">
        <v>1971</v>
      </c>
      <c r="Q778" t="s">
        <v>429</v>
      </c>
      <c r="R778">
        <v>4593.6899999999996</v>
      </c>
      <c r="T778">
        <v>4593.6899999999996</v>
      </c>
      <c r="U778" t="s">
        <v>40</v>
      </c>
      <c r="V778" s="1">
        <v>46199</v>
      </c>
      <c r="W778" s="1">
        <v>46203</v>
      </c>
      <c r="X778" t="s">
        <v>1350</v>
      </c>
    </row>
    <row r="779" spans="1:24" x14ac:dyDescent="0.25">
      <c r="A779">
        <f t="shared" ca="1" si="60"/>
        <v>0</v>
      </c>
      <c r="C779">
        <f t="shared" ca="1" si="61"/>
        <v>0</v>
      </c>
      <c r="D779" t="s">
        <v>221</v>
      </c>
      <c r="E779" t="s">
        <v>64</v>
      </c>
      <c r="F779">
        <v>541</v>
      </c>
      <c r="G779" t="s">
        <v>1217</v>
      </c>
      <c r="H779" t="s">
        <v>1688</v>
      </c>
      <c r="I779" t="s">
        <v>187</v>
      </c>
      <c r="J779" t="s">
        <v>221</v>
      </c>
      <c r="K779" t="s">
        <v>67</v>
      </c>
      <c r="L779" t="s">
        <v>1689</v>
      </c>
      <c r="M779">
        <v>5000</v>
      </c>
      <c r="N779">
        <v>103</v>
      </c>
      <c r="O779">
        <v>5084863</v>
      </c>
      <c r="P779">
        <v>7111</v>
      </c>
      <c r="Q779" t="s">
        <v>754</v>
      </c>
      <c r="R779">
        <v>3602.9</v>
      </c>
      <c r="S779">
        <v>3602.9</v>
      </c>
      <c r="T779">
        <v>0</v>
      </c>
      <c r="U779" t="s">
        <v>34</v>
      </c>
      <c r="V779" s="1">
        <v>46179</v>
      </c>
      <c r="W779" s="1">
        <v>46185</v>
      </c>
      <c r="X779" t="s">
        <v>1690</v>
      </c>
    </row>
    <row r="780" spans="1:24" x14ac:dyDescent="0.25">
      <c r="A780">
        <f t="shared" ca="1" si="60"/>
        <v>0</v>
      </c>
      <c r="C780">
        <f t="shared" ca="1" si="61"/>
        <v>0</v>
      </c>
      <c r="D780" t="s">
        <v>221</v>
      </c>
      <c r="E780" t="s">
        <v>64</v>
      </c>
      <c r="F780">
        <v>211</v>
      </c>
      <c r="G780" t="s">
        <v>1217</v>
      </c>
      <c r="H780" t="s">
        <v>1691</v>
      </c>
      <c r="I780" t="s">
        <v>187</v>
      </c>
      <c r="J780" t="s">
        <v>221</v>
      </c>
      <c r="K780" t="s">
        <v>67</v>
      </c>
      <c r="L780" t="s">
        <v>1603</v>
      </c>
      <c r="M780">
        <v>5000</v>
      </c>
      <c r="N780">
        <v>105</v>
      </c>
      <c r="X780" t="s">
        <v>1350</v>
      </c>
    </row>
    <row r="781" spans="1:24" x14ac:dyDescent="0.25">
      <c r="A781">
        <f t="shared" ca="1" si="60"/>
        <v>0</v>
      </c>
      <c r="C781">
        <f t="shared" ca="1" si="61"/>
        <v>0</v>
      </c>
      <c r="D781" t="s">
        <v>196</v>
      </c>
      <c r="E781" t="s">
        <v>64</v>
      </c>
      <c r="F781">
        <v>199</v>
      </c>
      <c r="G781" t="s">
        <v>755</v>
      </c>
      <c r="H781" t="s">
        <v>1692</v>
      </c>
      <c r="I781" t="s">
        <v>187</v>
      </c>
      <c r="J781" t="s">
        <v>196</v>
      </c>
      <c r="K781" t="s">
        <v>67</v>
      </c>
      <c r="L781" t="s">
        <v>1693</v>
      </c>
      <c r="M781">
        <v>10000</v>
      </c>
      <c r="N781">
        <v>106</v>
      </c>
      <c r="O781">
        <v>5076122</v>
      </c>
      <c r="P781">
        <v>2391</v>
      </c>
      <c r="Q781" t="s">
        <v>314</v>
      </c>
      <c r="R781">
        <v>2081.81</v>
      </c>
      <c r="S781">
        <v>2081.81</v>
      </c>
      <c r="T781">
        <v>0</v>
      </c>
      <c r="U781" t="s">
        <v>34</v>
      </c>
      <c r="V781" s="1">
        <v>46204</v>
      </c>
      <c r="W781" s="1">
        <v>46218</v>
      </c>
      <c r="X781" t="s">
        <v>1694</v>
      </c>
    </row>
    <row r="782" spans="1:24" x14ac:dyDescent="0.25">
      <c r="A782">
        <f t="shared" ca="1" si="60"/>
        <v>0</v>
      </c>
      <c r="C782">
        <f t="shared" ca="1" si="61"/>
        <v>0</v>
      </c>
      <c r="D782" t="s">
        <v>203</v>
      </c>
      <c r="E782" t="s">
        <v>64</v>
      </c>
      <c r="F782">
        <v>141</v>
      </c>
      <c r="G782" t="s">
        <v>1677</v>
      </c>
      <c r="H782" t="s">
        <v>1695</v>
      </c>
      <c r="I782" t="s">
        <v>44</v>
      </c>
      <c r="J782" t="s">
        <v>203</v>
      </c>
      <c r="K782" t="s">
        <v>67</v>
      </c>
      <c r="L782" t="s">
        <v>1696</v>
      </c>
      <c r="M782">
        <v>3000</v>
      </c>
      <c r="N782">
        <v>108</v>
      </c>
    </row>
    <row r="783" spans="1:24" x14ac:dyDescent="0.25">
      <c r="A783">
        <f t="shared" ref="A783:A814" ca="1" si="62">+ Cmde</f>
        <v>0</v>
      </c>
      <c r="C783">
        <f t="shared" ref="C783:C814" ca="1" si="63">+ Devis</f>
        <v>0</v>
      </c>
      <c r="D783" t="s">
        <v>57</v>
      </c>
      <c r="E783" t="s">
        <v>58</v>
      </c>
      <c r="F783">
        <v>584</v>
      </c>
      <c r="G783" t="s">
        <v>897</v>
      </c>
      <c r="H783" t="s">
        <v>1697</v>
      </c>
      <c r="I783" t="s">
        <v>44</v>
      </c>
      <c r="J783" t="s">
        <v>57</v>
      </c>
      <c r="K783" t="s">
        <v>61</v>
      </c>
      <c r="L783" t="s">
        <v>1698</v>
      </c>
      <c r="M783">
        <v>15000</v>
      </c>
      <c r="N783">
        <v>204</v>
      </c>
      <c r="O783">
        <v>5028367</v>
      </c>
      <c r="P783">
        <v>27164</v>
      </c>
      <c r="Q783" t="s">
        <v>1434</v>
      </c>
      <c r="R783">
        <v>9983.6</v>
      </c>
      <c r="S783">
        <v>9983.6</v>
      </c>
      <c r="T783">
        <v>0</v>
      </c>
      <c r="U783" t="s">
        <v>34</v>
      </c>
      <c r="V783" s="1">
        <v>46073</v>
      </c>
      <c r="W783" s="1">
        <v>46080</v>
      </c>
      <c r="X783" t="s">
        <v>296</v>
      </c>
    </row>
    <row r="784" spans="1:24" x14ac:dyDescent="0.25">
      <c r="A784">
        <f t="shared" ca="1" si="62"/>
        <v>0</v>
      </c>
      <c r="C784">
        <f t="shared" ca="1" si="63"/>
        <v>0</v>
      </c>
      <c r="D784" t="s">
        <v>355</v>
      </c>
      <c r="E784" t="s">
        <v>64</v>
      </c>
      <c r="F784">
        <v>287</v>
      </c>
      <c r="G784" t="s">
        <v>65</v>
      </c>
      <c r="H784" t="s">
        <v>1021</v>
      </c>
      <c r="I784" t="s">
        <v>30</v>
      </c>
      <c r="J784" t="s">
        <v>355</v>
      </c>
      <c r="K784" t="s">
        <v>67</v>
      </c>
      <c r="L784" t="s">
        <v>1699</v>
      </c>
      <c r="M784">
        <v>5000</v>
      </c>
      <c r="N784">
        <v>150</v>
      </c>
      <c r="O784">
        <v>5051693</v>
      </c>
      <c r="P784">
        <v>1701</v>
      </c>
      <c r="Q784" t="s">
        <v>459</v>
      </c>
      <c r="R784">
        <v>0</v>
      </c>
      <c r="T784">
        <v>0</v>
      </c>
    </row>
    <row r="785" spans="1:26" x14ac:dyDescent="0.25">
      <c r="A785">
        <f t="shared" ca="1" si="62"/>
        <v>0</v>
      </c>
      <c r="C785">
        <f t="shared" ca="1" si="63"/>
        <v>0</v>
      </c>
      <c r="D785" t="s">
        <v>35</v>
      </c>
      <c r="E785" t="s">
        <v>27</v>
      </c>
      <c r="F785">
        <v>269</v>
      </c>
      <c r="G785" t="s">
        <v>85</v>
      </c>
      <c r="H785" t="s">
        <v>1700</v>
      </c>
      <c r="I785" t="s">
        <v>30</v>
      </c>
      <c r="J785" t="s">
        <v>35</v>
      </c>
      <c r="K785" t="s">
        <v>31</v>
      </c>
      <c r="L785" t="s">
        <v>1046</v>
      </c>
      <c r="M785">
        <v>10000</v>
      </c>
      <c r="N785">
        <v>391</v>
      </c>
      <c r="O785">
        <v>5072229</v>
      </c>
      <c r="P785">
        <v>153</v>
      </c>
      <c r="Q785" t="s">
        <v>98</v>
      </c>
      <c r="R785">
        <v>18834.2</v>
      </c>
      <c r="T785">
        <v>18834.2</v>
      </c>
      <c r="U785" t="s">
        <v>40</v>
      </c>
      <c r="V785" s="1">
        <v>46203</v>
      </c>
      <c r="W785" s="1">
        <v>46233</v>
      </c>
    </row>
    <row r="786" spans="1:26" x14ac:dyDescent="0.25">
      <c r="A786">
        <f t="shared" ca="1" si="62"/>
        <v>0</v>
      </c>
      <c r="C786">
        <f t="shared" ca="1" si="63"/>
        <v>0</v>
      </c>
      <c r="D786" t="s">
        <v>26</v>
      </c>
      <c r="E786" t="s">
        <v>27</v>
      </c>
      <c r="F786">
        <v>455</v>
      </c>
      <c r="G786" t="s">
        <v>75</v>
      </c>
      <c r="H786" t="s">
        <v>1701</v>
      </c>
      <c r="I786" t="s">
        <v>30</v>
      </c>
      <c r="J786" t="s">
        <v>26</v>
      </c>
      <c r="K786" t="s">
        <v>31</v>
      </c>
      <c r="L786" t="s">
        <v>1702</v>
      </c>
      <c r="M786">
        <v>5000</v>
      </c>
      <c r="N786">
        <v>431</v>
      </c>
      <c r="O786">
        <v>5077163</v>
      </c>
      <c r="P786">
        <v>81</v>
      </c>
      <c r="Q786" t="s">
        <v>102</v>
      </c>
      <c r="R786">
        <v>5137.6899999999996</v>
      </c>
      <c r="T786">
        <v>5137.6899999999996</v>
      </c>
      <c r="U786" t="s">
        <v>40</v>
      </c>
      <c r="V786" s="1">
        <v>46203</v>
      </c>
      <c r="W786" s="1">
        <v>46223</v>
      </c>
    </row>
    <row r="787" spans="1:26" x14ac:dyDescent="0.25">
      <c r="A787">
        <f t="shared" ca="1" si="62"/>
        <v>0</v>
      </c>
      <c r="C787">
        <f t="shared" ca="1" si="63"/>
        <v>0</v>
      </c>
      <c r="D787" t="s">
        <v>41</v>
      </c>
      <c r="E787" t="s">
        <v>237</v>
      </c>
      <c r="F787">
        <v>755</v>
      </c>
      <c r="G787" t="s">
        <v>258</v>
      </c>
      <c r="H787" t="s">
        <v>1703</v>
      </c>
      <c r="I787" t="s">
        <v>44</v>
      </c>
      <c r="J787" t="s">
        <v>41</v>
      </c>
      <c r="K787" t="s">
        <v>240</v>
      </c>
      <c r="L787" t="s">
        <v>1704</v>
      </c>
      <c r="M787">
        <v>6000</v>
      </c>
      <c r="N787">
        <v>34</v>
      </c>
      <c r="O787">
        <v>5102861</v>
      </c>
      <c r="P787">
        <v>261</v>
      </c>
      <c r="Q787" t="s">
        <v>776</v>
      </c>
      <c r="R787">
        <v>2396.0300000000002</v>
      </c>
      <c r="T787">
        <v>2396.0300000000002</v>
      </c>
      <c r="U787" t="s">
        <v>34</v>
      </c>
      <c r="X787" t="s">
        <v>1705</v>
      </c>
    </row>
    <row r="788" spans="1:26" x14ac:dyDescent="0.25">
      <c r="A788">
        <f t="shared" ca="1" si="62"/>
        <v>0</v>
      </c>
      <c r="C788">
        <f t="shared" ca="1" si="63"/>
        <v>0</v>
      </c>
      <c r="D788" t="s">
        <v>35</v>
      </c>
      <c r="E788" t="s">
        <v>900</v>
      </c>
      <c r="F788">
        <v>1197</v>
      </c>
      <c r="G788" t="s">
        <v>1282</v>
      </c>
      <c r="H788" t="s">
        <v>1283</v>
      </c>
      <c r="I788" t="s">
        <v>30</v>
      </c>
      <c r="J788" t="s">
        <v>35</v>
      </c>
      <c r="K788" t="s">
        <v>326</v>
      </c>
      <c r="L788" t="s">
        <v>1706</v>
      </c>
      <c r="M788">
        <v>5000</v>
      </c>
      <c r="N788">
        <v>292</v>
      </c>
      <c r="O788">
        <v>5010584</v>
      </c>
      <c r="P788">
        <v>1</v>
      </c>
      <c r="Q788" t="s">
        <v>636</v>
      </c>
      <c r="R788">
        <v>2547.6</v>
      </c>
      <c r="S788">
        <v>2547.6</v>
      </c>
      <c r="T788">
        <v>0</v>
      </c>
      <c r="U788" t="s">
        <v>34</v>
      </c>
      <c r="V788" s="1">
        <v>46034</v>
      </c>
      <c r="W788" s="1">
        <v>46080</v>
      </c>
    </row>
    <row r="789" spans="1:26" x14ac:dyDescent="0.25">
      <c r="A789">
        <f t="shared" ca="1" si="62"/>
        <v>0</v>
      </c>
      <c r="C789">
        <f t="shared" ca="1" si="63"/>
        <v>0</v>
      </c>
      <c r="D789" t="s">
        <v>183</v>
      </c>
      <c r="E789" t="s">
        <v>49</v>
      </c>
      <c r="F789">
        <v>251</v>
      </c>
      <c r="G789" t="s">
        <v>726</v>
      </c>
      <c r="H789" t="s">
        <v>1707</v>
      </c>
      <c r="I789" t="s">
        <v>187</v>
      </c>
      <c r="J789" t="s">
        <v>183</v>
      </c>
      <c r="K789" t="s">
        <v>326</v>
      </c>
      <c r="L789" t="s">
        <v>1708</v>
      </c>
      <c r="O789">
        <v>5044309</v>
      </c>
      <c r="P789">
        <v>16262</v>
      </c>
      <c r="Q789" t="s">
        <v>697</v>
      </c>
      <c r="R789">
        <v>4616.04</v>
      </c>
      <c r="S789">
        <v>4616.04</v>
      </c>
      <c r="T789">
        <v>0</v>
      </c>
      <c r="U789" t="s">
        <v>40</v>
      </c>
      <c r="V789" s="1">
        <v>46087</v>
      </c>
      <c r="W789" s="1">
        <v>46090</v>
      </c>
      <c r="Y789" t="s">
        <v>104</v>
      </c>
      <c r="Z789" s="1">
        <v>46085</v>
      </c>
    </row>
    <row r="790" spans="1:26" x14ac:dyDescent="0.25">
      <c r="A790">
        <f t="shared" ca="1" si="62"/>
        <v>0</v>
      </c>
      <c r="C790">
        <f t="shared" ca="1" si="63"/>
        <v>0</v>
      </c>
      <c r="D790" t="s">
        <v>74</v>
      </c>
      <c r="E790" t="s">
        <v>58</v>
      </c>
      <c r="F790">
        <v>1428</v>
      </c>
      <c r="G790" t="s">
        <v>747</v>
      </c>
      <c r="H790" t="s">
        <v>1206</v>
      </c>
      <c r="I790" t="s">
        <v>30</v>
      </c>
      <c r="J790" t="s">
        <v>74</v>
      </c>
      <c r="K790" t="s">
        <v>61</v>
      </c>
      <c r="L790" t="s">
        <v>1709</v>
      </c>
      <c r="M790">
        <v>78000</v>
      </c>
      <c r="N790">
        <v>264</v>
      </c>
      <c r="O790">
        <v>5046035</v>
      </c>
      <c r="P790">
        <v>2391</v>
      </c>
      <c r="Q790" t="s">
        <v>314</v>
      </c>
      <c r="R790">
        <v>3821.77</v>
      </c>
      <c r="S790">
        <v>3821.77</v>
      </c>
      <c r="T790">
        <v>0</v>
      </c>
      <c r="U790" t="s">
        <v>34</v>
      </c>
      <c r="V790" s="1">
        <v>46104</v>
      </c>
      <c r="W790" s="1">
        <v>46112</v>
      </c>
    </row>
    <row r="791" spans="1:26" x14ac:dyDescent="0.25">
      <c r="A791">
        <f t="shared" ca="1" si="62"/>
        <v>0</v>
      </c>
      <c r="C791">
        <f t="shared" ca="1" si="63"/>
        <v>0</v>
      </c>
      <c r="D791" t="s">
        <v>95</v>
      </c>
      <c r="E791" t="s">
        <v>58</v>
      </c>
      <c r="F791">
        <v>165</v>
      </c>
      <c r="G791" t="s">
        <v>59</v>
      </c>
      <c r="H791" t="s">
        <v>1710</v>
      </c>
      <c r="I791" t="s">
        <v>30</v>
      </c>
      <c r="J791" t="s">
        <v>95</v>
      </c>
      <c r="K791" t="s">
        <v>61</v>
      </c>
      <c r="L791" t="s">
        <v>1711</v>
      </c>
      <c r="O791">
        <v>5085609</v>
      </c>
      <c r="P791">
        <v>1049</v>
      </c>
      <c r="Q791" t="s">
        <v>1712</v>
      </c>
      <c r="U791" t="s">
        <v>34</v>
      </c>
    </row>
    <row r="792" spans="1:26" x14ac:dyDescent="0.25">
      <c r="A792">
        <f t="shared" ca="1" si="62"/>
        <v>0</v>
      </c>
      <c r="C792">
        <f t="shared" ca="1" si="63"/>
        <v>0</v>
      </c>
      <c r="D792" t="s">
        <v>95</v>
      </c>
      <c r="E792" t="s">
        <v>27</v>
      </c>
      <c r="F792">
        <v>279</v>
      </c>
      <c r="G792" t="s">
        <v>75</v>
      </c>
      <c r="H792" t="s">
        <v>1713</v>
      </c>
      <c r="I792" t="s">
        <v>30</v>
      </c>
      <c r="J792" t="s">
        <v>95</v>
      </c>
      <c r="K792" t="s">
        <v>31</v>
      </c>
      <c r="L792" t="s">
        <v>1156</v>
      </c>
      <c r="O792">
        <v>5119033</v>
      </c>
      <c r="P792">
        <v>6455</v>
      </c>
      <c r="Q792" t="s">
        <v>39</v>
      </c>
      <c r="R792">
        <v>3394.24</v>
      </c>
      <c r="T792">
        <v>3394.24</v>
      </c>
      <c r="U792" t="s">
        <v>40</v>
      </c>
      <c r="V792" s="1">
        <v>46280</v>
      </c>
      <c r="W792" s="1">
        <v>46295</v>
      </c>
    </row>
    <row r="793" spans="1:26" x14ac:dyDescent="0.25">
      <c r="A793">
        <f t="shared" ca="1" si="62"/>
        <v>0</v>
      </c>
      <c r="C793">
        <f t="shared" ca="1" si="63"/>
        <v>0</v>
      </c>
      <c r="D793" t="s">
        <v>35</v>
      </c>
      <c r="E793" t="s">
        <v>237</v>
      </c>
      <c r="F793">
        <v>436</v>
      </c>
      <c r="G793" t="s">
        <v>258</v>
      </c>
      <c r="H793" t="s">
        <v>1714</v>
      </c>
      <c r="I793" t="s">
        <v>30</v>
      </c>
      <c r="J793" t="s">
        <v>35</v>
      </c>
      <c r="K793" t="s">
        <v>240</v>
      </c>
      <c r="L793" t="s">
        <v>1715</v>
      </c>
      <c r="O793">
        <v>5121797</v>
      </c>
      <c r="P793">
        <v>6038</v>
      </c>
      <c r="Q793" t="s">
        <v>1615</v>
      </c>
      <c r="R793">
        <v>3642.46</v>
      </c>
      <c r="S793">
        <v>3642.46</v>
      </c>
      <c r="T793">
        <v>0</v>
      </c>
      <c r="U793" t="s">
        <v>34</v>
      </c>
    </row>
    <row r="794" spans="1:26" x14ac:dyDescent="0.25">
      <c r="A794">
        <f t="shared" ca="1" si="62"/>
        <v>0</v>
      </c>
      <c r="C794">
        <f t="shared" ca="1" si="63"/>
        <v>0</v>
      </c>
      <c r="D794" t="s">
        <v>236</v>
      </c>
      <c r="E794" t="s">
        <v>237</v>
      </c>
      <c r="F794">
        <v>69</v>
      </c>
      <c r="G794" t="s">
        <v>258</v>
      </c>
      <c r="H794" t="s">
        <v>1716</v>
      </c>
      <c r="I794" t="s">
        <v>44</v>
      </c>
      <c r="J794" t="s">
        <v>236</v>
      </c>
      <c r="K794" t="s">
        <v>240</v>
      </c>
      <c r="L794" t="s">
        <v>1717</v>
      </c>
      <c r="O794">
        <v>5124799</v>
      </c>
      <c r="P794">
        <v>6364</v>
      </c>
      <c r="Q794" t="s">
        <v>331</v>
      </c>
      <c r="R794">
        <v>1983.61</v>
      </c>
      <c r="T794">
        <v>1983.61</v>
      </c>
    </row>
    <row r="795" spans="1:26" x14ac:dyDescent="0.25">
      <c r="A795">
        <f t="shared" ca="1" si="62"/>
        <v>0</v>
      </c>
      <c r="C795">
        <f t="shared" ca="1" si="63"/>
        <v>0</v>
      </c>
      <c r="D795" t="s">
        <v>221</v>
      </c>
      <c r="E795" t="s">
        <v>250</v>
      </c>
      <c r="F795">
        <v>1929</v>
      </c>
      <c r="G795" t="s">
        <v>996</v>
      </c>
      <c r="H795" t="s">
        <v>1718</v>
      </c>
      <c r="I795" t="s">
        <v>187</v>
      </c>
      <c r="J795" t="s">
        <v>221</v>
      </c>
      <c r="K795" t="s">
        <v>253</v>
      </c>
      <c r="L795" t="s">
        <v>1719</v>
      </c>
      <c r="M795">
        <v>15000</v>
      </c>
      <c r="N795">
        <v>713</v>
      </c>
      <c r="O795">
        <v>5037204</v>
      </c>
      <c r="P795">
        <v>7941</v>
      </c>
      <c r="Q795" t="s">
        <v>994</v>
      </c>
      <c r="R795">
        <v>15251.09</v>
      </c>
      <c r="S795">
        <v>15251.09</v>
      </c>
      <c r="T795">
        <v>0</v>
      </c>
      <c r="U795" t="s">
        <v>34</v>
      </c>
      <c r="V795" s="1">
        <v>46127</v>
      </c>
      <c r="W795" s="1">
        <v>46142</v>
      </c>
    </row>
    <row r="796" spans="1:26" x14ac:dyDescent="0.25">
      <c r="A796">
        <f t="shared" ca="1" si="62"/>
        <v>0</v>
      </c>
      <c r="C796">
        <f t="shared" ca="1" si="63"/>
        <v>0</v>
      </c>
      <c r="D796" t="s">
        <v>209</v>
      </c>
      <c r="E796" t="s">
        <v>49</v>
      </c>
      <c r="F796">
        <v>1614</v>
      </c>
      <c r="G796" t="s">
        <v>692</v>
      </c>
      <c r="H796" t="s">
        <v>1720</v>
      </c>
      <c r="I796" t="s">
        <v>44</v>
      </c>
      <c r="J796" t="s">
        <v>209</v>
      </c>
      <c r="K796" t="s">
        <v>52</v>
      </c>
      <c r="L796" t="s">
        <v>1721</v>
      </c>
      <c r="M796">
        <v>5000</v>
      </c>
      <c r="N796">
        <v>687</v>
      </c>
      <c r="O796">
        <v>5024470</v>
      </c>
      <c r="P796">
        <v>7372</v>
      </c>
      <c r="Q796" t="s">
        <v>937</v>
      </c>
      <c r="R796">
        <v>2770.42</v>
      </c>
      <c r="S796">
        <v>2770.42</v>
      </c>
      <c r="T796">
        <v>0</v>
      </c>
      <c r="U796" t="s">
        <v>34</v>
      </c>
      <c r="V796" s="1">
        <v>46235</v>
      </c>
      <c r="W796" s="1">
        <v>46254</v>
      </c>
      <c r="X796" t="s">
        <v>1722</v>
      </c>
    </row>
    <row r="797" spans="1:26" x14ac:dyDescent="0.25">
      <c r="A797">
        <f t="shared" ca="1" si="62"/>
        <v>0</v>
      </c>
      <c r="C797">
        <f t="shared" ca="1" si="63"/>
        <v>0</v>
      </c>
      <c r="D797" t="s">
        <v>26</v>
      </c>
      <c r="E797" t="s">
        <v>27</v>
      </c>
      <c r="F797">
        <v>285</v>
      </c>
      <c r="G797" t="s">
        <v>114</v>
      </c>
      <c r="H797" t="s">
        <v>1723</v>
      </c>
      <c r="I797" t="s">
        <v>30</v>
      </c>
      <c r="J797" t="s">
        <v>26</v>
      </c>
      <c r="K797" t="s">
        <v>31</v>
      </c>
      <c r="L797" t="s">
        <v>1724</v>
      </c>
      <c r="M797">
        <v>6000</v>
      </c>
      <c r="N797">
        <v>415</v>
      </c>
      <c r="O797">
        <v>5049625</v>
      </c>
      <c r="P797">
        <v>836</v>
      </c>
      <c r="Q797" t="s">
        <v>1725</v>
      </c>
      <c r="R797">
        <v>3403.49</v>
      </c>
      <c r="S797">
        <v>3403.49</v>
      </c>
      <c r="T797">
        <v>0</v>
      </c>
      <c r="U797" t="s">
        <v>34</v>
      </c>
      <c r="V797" s="1">
        <v>46122</v>
      </c>
      <c r="W797" s="1">
        <v>46157</v>
      </c>
    </row>
    <row r="798" spans="1:26" x14ac:dyDescent="0.25">
      <c r="A798">
        <f t="shared" ca="1" si="62"/>
        <v>0</v>
      </c>
      <c r="C798">
        <f t="shared" ca="1" si="63"/>
        <v>0</v>
      </c>
      <c r="D798" t="s">
        <v>41</v>
      </c>
      <c r="E798" t="s">
        <v>49</v>
      </c>
      <c r="F798">
        <v>1609</v>
      </c>
      <c r="G798" t="s">
        <v>689</v>
      </c>
      <c r="H798" t="s">
        <v>1726</v>
      </c>
      <c r="I798" t="s">
        <v>44</v>
      </c>
      <c r="J798" t="s">
        <v>41</v>
      </c>
      <c r="K798" t="s">
        <v>52</v>
      </c>
      <c r="L798" t="s">
        <v>929</v>
      </c>
      <c r="M798">
        <v>12500</v>
      </c>
      <c r="N798">
        <v>684</v>
      </c>
      <c r="O798">
        <v>5016329</v>
      </c>
      <c r="P798">
        <v>4921</v>
      </c>
      <c r="Q798" t="s">
        <v>94</v>
      </c>
      <c r="R798">
        <v>16045.57</v>
      </c>
      <c r="S798">
        <v>16045.57</v>
      </c>
      <c r="T798">
        <v>0</v>
      </c>
      <c r="U798" t="s">
        <v>34</v>
      </c>
      <c r="V798" s="1">
        <v>46225</v>
      </c>
      <c r="W798" s="1">
        <v>46230</v>
      </c>
      <c r="X798" t="s">
        <v>56</v>
      </c>
    </row>
    <row r="799" spans="1:26" x14ac:dyDescent="0.25">
      <c r="A799">
        <f t="shared" ca="1" si="62"/>
        <v>0</v>
      </c>
      <c r="C799">
        <f t="shared" ca="1" si="63"/>
        <v>0</v>
      </c>
      <c r="D799" t="s">
        <v>41</v>
      </c>
      <c r="E799" t="s">
        <v>64</v>
      </c>
      <c r="F799">
        <v>91</v>
      </c>
      <c r="G799" t="s">
        <v>311</v>
      </c>
      <c r="H799" t="s">
        <v>1727</v>
      </c>
      <c r="I799" t="s">
        <v>44</v>
      </c>
      <c r="J799" t="s">
        <v>41</v>
      </c>
      <c r="K799" t="s">
        <v>67</v>
      </c>
      <c r="L799" t="s">
        <v>1728</v>
      </c>
      <c r="M799">
        <v>18000</v>
      </c>
      <c r="N799">
        <v>109</v>
      </c>
      <c r="O799">
        <v>5025230</v>
      </c>
      <c r="P799">
        <v>4146</v>
      </c>
      <c r="Q799" t="s">
        <v>91</v>
      </c>
      <c r="R799">
        <v>16211.47</v>
      </c>
      <c r="T799">
        <v>16211.47</v>
      </c>
      <c r="U799" t="s">
        <v>40</v>
      </c>
      <c r="V799" s="1">
        <v>46119</v>
      </c>
      <c r="W799" s="1">
        <v>46130</v>
      </c>
      <c r="X799" t="s">
        <v>1729</v>
      </c>
    </row>
    <row r="800" spans="1:26" x14ac:dyDescent="0.25">
      <c r="A800">
        <f t="shared" ca="1" si="62"/>
        <v>0</v>
      </c>
      <c r="C800">
        <f t="shared" ca="1" si="63"/>
        <v>0</v>
      </c>
      <c r="D800" t="s">
        <v>41</v>
      </c>
      <c r="E800" t="s">
        <v>64</v>
      </c>
      <c r="F800">
        <v>121</v>
      </c>
      <c r="G800" t="s">
        <v>311</v>
      </c>
      <c r="H800" t="s">
        <v>317</v>
      </c>
      <c r="I800" t="s">
        <v>44</v>
      </c>
      <c r="J800" t="s">
        <v>41</v>
      </c>
      <c r="K800" t="s">
        <v>67</v>
      </c>
      <c r="L800" t="s">
        <v>1730</v>
      </c>
      <c r="M800">
        <v>18000</v>
      </c>
      <c r="N800">
        <v>110</v>
      </c>
      <c r="O800">
        <v>5061759</v>
      </c>
      <c r="P800">
        <v>5978</v>
      </c>
      <c r="Q800" t="s">
        <v>54</v>
      </c>
    </row>
    <row r="801" spans="1:24" x14ac:dyDescent="0.25">
      <c r="A801">
        <f t="shared" ca="1" si="62"/>
        <v>0</v>
      </c>
      <c r="C801">
        <f t="shared" ca="1" si="63"/>
        <v>0</v>
      </c>
      <c r="D801" t="s">
        <v>209</v>
      </c>
      <c r="E801" t="s">
        <v>64</v>
      </c>
      <c r="F801">
        <v>121</v>
      </c>
      <c r="G801" t="s">
        <v>311</v>
      </c>
      <c r="H801" t="s">
        <v>1731</v>
      </c>
      <c r="I801" t="s">
        <v>44</v>
      </c>
      <c r="J801" t="s">
        <v>209</v>
      </c>
      <c r="K801" t="s">
        <v>67</v>
      </c>
      <c r="L801" t="s">
        <v>1732</v>
      </c>
      <c r="M801">
        <v>14000</v>
      </c>
      <c r="N801">
        <v>111</v>
      </c>
      <c r="O801">
        <v>5032730</v>
      </c>
      <c r="P801">
        <v>503</v>
      </c>
      <c r="Q801" t="s">
        <v>1246</v>
      </c>
      <c r="R801">
        <v>6252.45</v>
      </c>
      <c r="S801">
        <v>6252.45</v>
      </c>
      <c r="T801">
        <v>0</v>
      </c>
      <c r="U801" t="s">
        <v>34</v>
      </c>
      <c r="V801" s="1">
        <v>46091</v>
      </c>
      <c r="W801" s="1">
        <v>46097</v>
      </c>
      <c r="X801" t="s">
        <v>1247</v>
      </c>
    </row>
    <row r="802" spans="1:24" x14ac:dyDescent="0.25">
      <c r="A802">
        <f t="shared" ca="1" si="62"/>
        <v>0</v>
      </c>
      <c r="C802">
        <f t="shared" ca="1" si="63"/>
        <v>0</v>
      </c>
      <c r="D802" t="s">
        <v>57</v>
      </c>
      <c r="E802" t="s">
        <v>64</v>
      </c>
      <c r="F802">
        <v>141</v>
      </c>
      <c r="G802" t="s">
        <v>605</v>
      </c>
      <c r="H802" t="s">
        <v>606</v>
      </c>
      <c r="I802" t="s">
        <v>44</v>
      </c>
      <c r="J802" t="s">
        <v>57</v>
      </c>
      <c r="K802" t="s">
        <v>67</v>
      </c>
      <c r="L802" t="s">
        <v>1245</v>
      </c>
      <c r="M802">
        <v>15000</v>
      </c>
      <c r="N802">
        <v>112</v>
      </c>
      <c r="O802">
        <v>5023656</v>
      </c>
      <c r="P802">
        <v>503</v>
      </c>
      <c r="Q802" t="s">
        <v>1246</v>
      </c>
      <c r="R802">
        <v>11751.31</v>
      </c>
      <c r="S802">
        <v>11751.31</v>
      </c>
      <c r="T802">
        <v>0</v>
      </c>
      <c r="U802" t="s">
        <v>34</v>
      </c>
      <c r="V802" s="1">
        <v>46091</v>
      </c>
      <c r="W802" s="1">
        <v>46097</v>
      </c>
      <c r="X802" t="s">
        <v>1247</v>
      </c>
    </row>
    <row r="803" spans="1:24" x14ac:dyDescent="0.25">
      <c r="A803">
        <f t="shared" ca="1" si="62"/>
        <v>0</v>
      </c>
      <c r="C803">
        <f t="shared" ca="1" si="63"/>
        <v>0</v>
      </c>
      <c r="D803" t="s">
        <v>203</v>
      </c>
      <c r="E803" t="s">
        <v>64</v>
      </c>
      <c r="F803">
        <v>158</v>
      </c>
      <c r="G803" t="s">
        <v>1677</v>
      </c>
      <c r="H803" t="s">
        <v>1733</v>
      </c>
      <c r="I803" t="s">
        <v>44</v>
      </c>
      <c r="J803" t="s">
        <v>203</v>
      </c>
      <c r="K803" t="s">
        <v>67</v>
      </c>
      <c r="L803" t="s">
        <v>1696</v>
      </c>
      <c r="M803">
        <v>4500</v>
      </c>
      <c r="N803">
        <v>113</v>
      </c>
    </row>
    <row r="804" spans="1:24" x14ac:dyDescent="0.25">
      <c r="A804">
        <f t="shared" ca="1" si="62"/>
        <v>0</v>
      </c>
      <c r="C804">
        <f t="shared" ca="1" si="63"/>
        <v>0</v>
      </c>
      <c r="D804" t="s">
        <v>41</v>
      </c>
      <c r="E804" t="s">
        <v>64</v>
      </c>
      <c r="F804">
        <v>253</v>
      </c>
      <c r="G804" t="s">
        <v>1217</v>
      </c>
      <c r="H804" t="s">
        <v>1734</v>
      </c>
      <c r="I804" t="s">
        <v>44</v>
      </c>
      <c r="J804" t="s">
        <v>41</v>
      </c>
      <c r="K804" t="s">
        <v>67</v>
      </c>
      <c r="L804" t="s">
        <v>1735</v>
      </c>
      <c r="M804">
        <v>6000</v>
      </c>
      <c r="N804">
        <v>114</v>
      </c>
      <c r="O804">
        <v>5127362</v>
      </c>
      <c r="P804">
        <v>4921</v>
      </c>
      <c r="Q804" t="s">
        <v>94</v>
      </c>
      <c r="R804">
        <v>6193.86</v>
      </c>
      <c r="T804">
        <v>6193.86</v>
      </c>
    </row>
    <row r="805" spans="1:24" x14ac:dyDescent="0.25">
      <c r="A805">
        <f t="shared" ca="1" si="62"/>
        <v>0</v>
      </c>
      <c r="C805">
        <f t="shared" ca="1" si="63"/>
        <v>0</v>
      </c>
      <c r="D805" t="s">
        <v>236</v>
      </c>
      <c r="E805" t="s">
        <v>64</v>
      </c>
      <c r="F805">
        <v>171</v>
      </c>
      <c r="G805" t="s">
        <v>319</v>
      </c>
      <c r="H805" t="s">
        <v>1736</v>
      </c>
      <c r="I805" t="s">
        <v>44</v>
      </c>
      <c r="J805" t="s">
        <v>236</v>
      </c>
      <c r="K805" t="s">
        <v>67</v>
      </c>
      <c r="L805" t="s">
        <v>1737</v>
      </c>
      <c r="M805">
        <v>5000</v>
      </c>
      <c r="N805">
        <v>115</v>
      </c>
      <c r="X805" t="s">
        <v>1738</v>
      </c>
    </row>
    <row r="806" spans="1:24" x14ac:dyDescent="0.25">
      <c r="A806">
        <f t="shared" ca="1" si="62"/>
        <v>0</v>
      </c>
      <c r="C806">
        <f t="shared" ca="1" si="63"/>
        <v>0</v>
      </c>
      <c r="D806" t="s">
        <v>41</v>
      </c>
      <c r="E806" t="s">
        <v>64</v>
      </c>
      <c r="F806">
        <v>171</v>
      </c>
      <c r="G806" t="s">
        <v>319</v>
      </c>
      <c r="H806" t="s">
        <v>744</v>
      </c>
      <c r="I806" t="s">
        <v>44</v>
      </c>
      <c r="J806" t="s">
        <v>41</v>
      </c>
      <c r="K806" t="s">
        <v>67</v>
      </c>
      <c r="L806" t="s">
        <v>1739</v>
      </c>
      <c r="M806">
        <v>8000</v>
      </c>
      <c r="N806">
        <v>116</v>
      </c>
      <c r="O806">
        <v>5098841</v>
      </c>
      <c r="P806">
        <v>25204</v>
      </c>
      <c r="Q806" t="s">
        <v>46</v>
      </c>
      <c r="R806">
        <v>7616.53</v>
      </c>
      <c r="S806">
        <v>7616.53</v>
      </c>
      <c r="T806">
        <v>0</v>
      </c>
      <c r="U806" t="s">
        <v>34</v>
      </c>
    </row>
    <row r="807" spans="1:24" x14ac:dyDescent="0.25">
      <c r="A807">
        <f t="shared" ca="1" si="62"/>
        <v>0</v>
      </c>
      <c r="C807">
        <f t="shared" ca="1" si="63"/>
        <v>0</v>
      </c>
      <c r="D807" t="s">
        <v>41</v>
      </c>
      <c r="E807" t="s">
        <v>64</v>
      </c>
      <c r="F807">
        <v>179</v>
      </c>
      <c r="G807" t="s">
        <v>65</v>
      </c>
      <c r="H807" t="s">
        <v>1740</v>
      </c>
      <c r="I807" t="s">
        <v>44</v>
      </c>
      <c r="J807" t="s">
        <v>41</v>
      </c>
      <c r="K807" t="s">
        <v>67</v>
      </c>
      <c r="L807" t="s">
        <v>1741</v>
      </c>
      <c r="M807">
        <v>13000</v>
      </c>
      <c r="N807">
        <v>117</v>
      </c>
      <c r="O807">
        <v>5011040</v>
      </c>
      <c r="P807">
        <v>4146</v>
      </c>
      <c r="Q807" t="s">
        <v>91</v>
      </c>
      <c r="R807">
        <v>5215.1000000000004</v>
      </c>
      <c r="T807">
        <v>5215.1000000000004</v>
      </c>
      <c r="U807" t="s">
        <v>40</v>
      </c>
      <c r="V807" s="1">
        <v>46028</v>
      </c>
      <c r="W807" s="1">
        <v>46047</v>
      </c>
    </row>
    <row r="808" spans="1:24" x14ac:dyDescent="0.25">
      <c r="A808">
        <f t="shared" ca="1" si="62"/>
        <v>0</v>
      </c>
      <c r="C808">
        <f t="shared" ca="1" si="63"/>
        <v>0</v>
      </c>
      <c r="D808" t="s">
        <v>41</v>
      </c>
      <c r="E808" t="s">
        <v>64</v>
      </c>
      <c r="F808">
        <v>287</v>
      </c>
      <c r="G808" t="s">
        <v>65</v>
      </c>
      <c r="H808" t="s">
        <v>608</v>
      </c>
      <c r="I808" t="s">
        <v>44</v>
      </c>
      <c r="J808" t="s">
        <v>41</v>
      </c>
      <c r="K808" t="s">
        <v>67</v>
      </c>
      <c r="L808" t="s">
        <v>1742</v>
      </c>
      <c r="M808">
        <v>10000</v>
      </c>
      <c r="N808">
        <v>118</v>
      </c>
      <c r="O808">
        <v>5073451</v>
      </c>
      <c r="P808">
        <v>25204</v>
      </c>
      <c r="Q808" t="s">
        <v>46</v>
      </c>
      <c r="R808">
        <v>9635.23</v>
      </c>
      <c r="S808">
        <v>9635.23</v>
      </c>
      <c r="T808">
        <v>0</v>
      </c>
      <c r="U808" t="s">
        <v>34</v>
      </c>
      <c r="V808" s="1">
        <v>46188</v>
      </c>
      <c r="W808" s="1">
        <v>46203</v>
      </c>
      <c r="X808" t="s">
        <v>1743</v>
      </c>
    </row>
    <row r="809" spans="1:24" x14ac:dyDescent="0.25">
      <c r="A809">
        <f t="shared" ca="1" si="62"/>
        <v>0</v>
      </c>
      <c r="C809">
        <f t="shared" ca="1" si="63"/>
        <v>0</v>
      </c>
      <c r="D809" t="s">
        <v>41</v>
      </c>
      <c r="E809" t="s">
        <v>64</v>
      </c>
      <c r="F809">
        <v>346</v>
      </c>
      <c r="G809" t="s">
        <v>65</v>
      </c>
      <c r="H809" t="s">
        <v>1744</v>
      </c>
      <c r="I809" t="s">
        <v>44</v>
      </c>
      <c r="J809" t="s">
        <v>41</v>
      </c>
      <c r="K809" t="s">
        <v>67</v>
      </c>
      <c r="L809" t="s">
        <v>1742</v>
      </c>
      <c r="M809">
        <v>10000</v>
      </c>
      <c r="N809">
        <v>119</v>
      </c>
    </row>
    <row r="810" spans="1:24" x14ac:dyDescent="0.25">
      <c r="A810">
        <f t="shared" ca="1" si="62"/>
        <v>0</v>
      </c>
      <c r="C810">
        <f t="shared" ca="1" si="63"/>
        <v>0</v>
      </c>
      <c r="D810" t="s">
        <v>209</v>
      </c>
      <c r="E810" t="s">
        <v>64</v>
      </c>
      <c r="F810">
        <v>119</v>
      </c>
      <c r="G810" t="s">
        <v>755</v>
      </c>
      <c r="H810" t="s">
        <v>1340</v>
      </c>
      <c r="I810" t="s">
        <v>44</v>
      </c>
      <c r="J810" t="s">
        <v>209</v>
      </c>
      <c r="K810" t="s">
        <v>67</v>
      </c>
      <c r="L810" t="s">
        <v>131</v>
      </c>
      <c r="M810">
        <v>7500</v>
      </c>
      <c r="N810">
        <v>120</v>
      </c>
      <c r="O810">
        <v>5073184</v>
      </c>
      <c r="P810">
        <v>5197</v>
      </c>
      <c r="Q810" t="s">
        <v>132</v>
      </c>
      <c r="R810">
        <v>6879.4</v>
      </c>
      <c r="T810">
        <v>6879.4</v>
      </c>
      <c r="U810" t="s">
        <v>107</v>
      </c>
      <c r="V810" s="1">
        <v>46307</v>
      </c>
      <c r="W810" s="1">
        <v>46311</v>
      </c>
      <c r="X810" t="s">
        <v>1745</v>
      </c>
    </row>
    <row r="811" spans="1:24" x14ac:dyDescent="0.25">
      <c r="A811">
        <f t="shared" ca="1" si="62"/>
        <v>0</v>
      </c>
      <c r="C811">
        <f t="shared" ca="1" si="63"/>
        <v>0</v>
      </c>
      <c r="D811" t="s">
        <v>41</v>
      </c>
      <c r="E811" t="s">
        <v>64</v>
      </c>
      <c r="F811">
        <v>505</v>
      </c>
      <c r="G811" t="s">
        <v>65</v>
      </c>
      <c r="H811" t="s">
        <v>1746</v>
      </c>
      <c r="I811" t="s">
        <v>44</v>
      </c>
      <c r="J811" t="s">
        <v>41</v>
      </c>
      <c r="K811" t="s">
        <v>67</v>
      </c>
      <c r="L811" t="s">
        <v>1747</v>
      </c>
      <c r="M811">
        <v>10000</v>
      </c>
      <c r="N811">
        <v>121</v>
      </c>
      <c r="O811">
        <v>5018680</v>
      </c>
      <c r="P811">
        <v>5978</v>
      </c>
      <c r="Q811" t="s">
        <v>54</v>
      </c>
      <c r="R811">
        <v>35149.61</v>
      </c>
      <c r="S811">
        <v>35149.61</v>
      </c>
      <c r="T811">
        <v>0</v>
      </c>
      <c r="U811" t="s">
        <v>34</v>
      </c>
      <c r="V811" s="1">
        <v>46258</v>
      </c>
      <c r="W811" s="1">
        <v>46282</v>
      </c>
      <c r="X811" t="s">
        <v>1748</v>
      </c>
    </row>
    <row r="812" spans="1:24" x14ac:dyDescent="0.25">
      <c r="A812">
        <f t="shared" ca="1" si="62"/>
        <v>0</v>
      </c>
      <c r="C812">
        <f t="shared" ca="1" si="63"/>
        <v>0</v>
      </c>
      <c r="D812" t="s">
        <v>57</v>
      </c>
      <c r="E812" t="s">
        <v>64</v>
      </c>
      <c r="F812">
        <v>1408</v>
      </c>
      <c r="G812" t="s">
        <v>1677</v>
      </c>
      <c r="H812" t="s">
        <v>1749</v>
      </c>
      <c r="I812" t="s">
        <v>44</v>
      </c>
      <c r="J812" t="s">
        <v>57</v>
      </c>
      <c r="K812" t="s">
        <v>67</v>
      </c>
      <c r="L812" t="s">
        <v>1750</v>
      </c>
      <c r="M812">
        <v>20000</v>
      </c>
      <c r="N812">
        <v>122</v>
      </c>
      <c r="O812">
        <v>5045633</v>
      </c>
      <c r="P812">
        <v>39</v>
      </c>
      <c r="Q812" t="s">
        <v>779</v>
      </c>
      <c r="R812">
        <v>12432.86</v>
      </c>
      <c r="S812">
        <v>12432.86</v>
      </c>
      <c r="T812">
        <v>0</v>
      </c>
      <c r="U812" t="s">
        <v>34</v>
      </c>
      <c r="V812" s="1">
        <v>46122</v>
      </c>
      <c r="W812" s="1">
        <v>46142</v>
      </c>
    </row>
    <row r="813" spans="1:24" x14ac:dyDescent="0.25">
      <c r="A813">
        <f t="shared" ca="1" si="62"/>
        <v>0</v>
      </c>
      <c r="C813">
        <f t="shared" ca="1" si="63"/>
        <v>0</v>
      </c>
      <c r="D813" t="s">
        <v>209</v>
      </c>
      <c r="E813" t="s">
        <v>64</v>
      </c>
      <c r="F813">
        <v>253</v>
      </c>
      <c r="G813" t="s">
        <v>1217</v>
      </c>
      <c r="H813" t="s">
        <v>1751</v>
      </c>
      <c r="I813" t="s">
        <v>44</v>
      </c>
      <c r="J813" t="s">
        <v>209</v>
      </c>
      <c r="K813" t="s">
        <v>67</v>
      </c>
      <c r="L813" t="s">
        <v>1752</v>
      </c>
      <c r="M813">
        <v>7000</v>
      </c>
      <c r="N813">
        <v>123</v>
      </c>
      <c r="O813">
        <v>5018171</v>
      </c>
      <c r="P813">
        <v>503</v>
      </c>
      <c r="Q813" t="s">
        <v>1246</v>
      </c>
      <c r="R813">
        <v>2306.3200000000002</v>
      </c>
      <c r="S813">
        <v>2306.3200000000002</v>
      </c>
      <c r="T813">
        <v>0</v>
      </c>
      <c r="U813" t="s">
        <v>34</v>
      </c>
      <c r="V813" s="1">
        <v>46062</v>
      </c>
      <c r="W813" s="1">
        <v>46111</v>
      </c>
      <c r="X813" t="s">
        <v>1247</v>
      </c>
    </row>
    <row r="814" spans="1:24" x14ac:dyDescent="0.25">
      <c r="A814">
        <f t="shared" ca="1" si="62"/>
        <v>0</v>
      </c>
      <c r="C814">
        <f t="shared" ca="1" si="63"/>
        <v>0</v>
      </c>
      <c r="D814" t="s">
        <v>41</v>
      </c>
      <c r="E814" t="s">
        <v>64</v>
      </c>
      <c r="F814">
        <v>2028</v>
      </c>
      <c r="G814" t="s">
        <v>319</v>
      </c>
      <c r="H814" t="s">
        <v>1324</v>
      </c>
      <c r="I814" t="s">
        <v>44</v>
      </c>
      <c r="J814" t="s">
        <v>41</v>
      </c>
      <c r="K814" t="s">
        <v>67</v>
      </c>
      <c r="L814" t="s">
        <v>1753</v>
      </c>
      <c r="M814">
        <v>10000</v>
      </c>
      <c r="N814">
        <v>125</v>
      </c>
      <c r="O814">
        <v>5034863</v>
      </c>
      <c r="P814">
        <v>4921</v>
      </c>
      <c r="Q814" t="s">
        <v>94</v>
      </c>
      <c r="R814">
        <v>1868.31</v>
      </c>
      <c r="S814">
        <v>1868.31</v>
      </c>
      <c r="T814">
        <v>0</v>
      </c>
      <c r="U814" t="s">
        <v>40</v>
      </c>
      <c r="V814" s="1">
        <v>46066</v>
      </c>
      <c r="W814" s="1">
        <v>46071</v>
      </c>
    </row>
    <row r="815" spans="1:24" x14ac:dyDescent="0.25">
      <c r="A815">
        <f t="shared" ref="A815:A849" ca="1" si="64">+ Cmde</f>
        <v>0</v>
      </c>
      <c r="C815">
        <f t="shared" ref="C815:C849" ca="1" si="65">+ Devis</f>
        <v>0</v>
      </c>
      <c r="D815" t="s">
        <v>209</v>
      </c>
      <c r="E815" t="s">
        <v>64</v>
      </c>
      <c r="F815">
        <v>896</v>
      </c>
      <c r="G815" t="s">
        <v>755</v>
      </c>
      <c r="H815" t="s">
        <v>1754</v>
      </c>
      <c r="I815" t="s">
        <v>44</v>
      </c>
      <c r="J815" t="s">
        <v>209</v>
      </c>
      <c r="K815" t="s">
        <v>67</v>
      </c>
      <c r="L815" t="s">
        <v>1755</v>
      </c>
      <c r="M815">
        <v>8000</v>
      </c>
      <c r="N815">
        <v>128</v>
      </c>
      <c r="O815">
        <v>5018162</v>
      </c>
      <c r="P815">
        <v>503</v>
      </c>
      <c r="Q815" t="s">
        <v>1246</v>
      </c>
      <c r="R815">
        <v>7525.43</v>
      </c>
      <c r="S815">
        <v>7525.43</v>
      </c>
      <c r="T815">
        <v>0</v>
      </c>
      <c r="U815" t="s">
        <v>40</v>
      </c>
      <c r="V815" s="1">
        <v>46076</v>
      </c>
      <c r="W815" s="1">
        <v>46099</v>
      </c>
      <c r="X815" t="s">
        <v>1247</v>
      </c>
    </row>
    <row r="816" spans="1:24" x14ac:dyDescent="0.25">
      <c r="A816">
        <f t="shared" ca="1" si="64"/>
        <v>0</v>
      </c>
      <c r="C816">
        <f t="shared" ca="1" si="65"/>
        <v>0</v>
      </c>
      <c r="D816" t="s">
        <v>203</v>
      </c>
      <c r="E816" t="s">
        <v>64</v>
      </c>
      <c r="F816">
        <v>365</v>
      </c>
      <c r="G816" t="s">
        <v>755</v>
      </c>
      <c r="H816" t="s">
        <v>1756</v>
      </c>
      <c r="I816" t="s">
        <v>44</v>
      </c>
      <c r="J816" t="s">
        <v>203</v>
      </c>
      <c r="K816" t="s">
        <v>67</v>
      </c>
      <c r="L816" t="s">
        <v>1755</v>
      </c>
      <c r="M816">
        <v>8000</v>
      </c>
      <c r="N816">
        <v>129</v>
      </c>
      <c r="O816">
        <v>5018153</v>
      </c>
      <c r="P816">
        <v>503</v>
      </c>
      <c r="Q816" t="s">
        <v>1246</v>
      </c>
      <c r="R816">
        <v>8892.35</v>
      </c>
      <c r="S816">
        <v>8892.35</v>
      </c>
      <c r="T816">
        <v>0</v>
      </c>
      <c r="U816" t="s">
        <v>34</v>
      </c>
      <c r="V816" s="1">
        <v>46138</v>
      </c>
      <c r="W816" s="1">
        <v>46154</v>
      </c>
    </row>
    <row r="817" spans="1:24" x14ac:dyDescent="0.25">
      <c r="A817">
        <f t="shared" ca="1" si="64"/>
        <v>0</v>
      </c>
      <c r="C817">
        <f t="shared" ca="1" si="65"/>
        <v>0</v>
      </c>
      <c r="D817" t="s">
        <v>41</v>
      </c>
      <c r="E817" t="s">
        <v>64</v>
      </c>
      <c r="F817">
        <v>1498</v>
      </c>
      <c r="G817" t="s">
        <v>755</v>
      </c>
      <c r="H817" t="s">
        <v>1757</v>
      </c>
      <c r="I817" t="s">
        <v>44</v>
      </c>
      <c r="J817" t="s">
        <v>41</v>
      </c>
      <c r="K817" t="s">
        <v>67</v>
      </c>
      <c r="L817" t="s">
        <v>1758</v>
      </c>
      <c r="M817">
        <v>6000</v>
      </c>
      <c r="N817">
        <v>130</v>
      </c>
      <c r="O817">
        <v>5050107</v>
      </c>
      <c r="P817">
        <v>5978</v>
      </c>
      <c r="Q817" t="s">
        <v>54</v>
      </c>
      <c r="R817">
        <v>8764.7999999999993</v>
      </c>
      <c r="S817">
        <v>8764.7999999999993</v>
      </c>
      <c r="T817">
        <v>0</v>
      </c>
      <c r="U817" t="s">
        <v>34</v>
      </c>
      <c r="V817" s="1">
        <v>46153</v>
      </c>
      <c r="W817" s="1">
        <v>46157</v>
      </c>
      <c r="X817" t="s">
        <v>1759</v>
      </c>
    </row>
    <row r="818" spans="1:24" x14ac:dyDescent="0.25">
      <c r="A818">
        <f t="shared" ca="1" si="64"/>
        <v>0</v>
      </c>
      <c r="C818">
        <f t="shared" ca="1" si="65"/>
        <v>0</v>
      </c>
      <c r="D818" t="s">
        <v>41</v>
      </c>
      <c r="E818" t="s">
        <v>64</v>
      </c>
      <c r="F818">
        <v>119</v>
      </c>
      <c r="G818" t="s">
        <v>588</v>
      </c>
      <c r="H818" t="s">
        <v>589</v>
      </c>
      <c r="I818" t="s">
        <v>44</v>
      </c>
      <c r="J818" t="s">
        <v>41</v>
      </c>
      <c r="K818" t="s">
        <v>67</v>
      </c>
      <c r="L818" t="s">
        <v>1760</v>
      </c>
      <c r="M818">
        <v>5000</v>
      </c>
      <c r="N818">
        <v>133</v>
      </c>
      <c r="O818">
        <v>5040145</v>
      </c>
      <c r="P818">
        <v>4921</v>
      </c>
      <c r="Q818" t="s">
        <v>94</v>
      </c>
      <c r="R818">
        <v>5339.94</v>
      </c>
      <c r="T818">
        <v>5339.94</v>
      </c>
      <c r="U818" t="s">
        <v>40</v>
      </c>
      <c r="V818" s="1">
        <v>46132</v>
      </c>
      <c r="W818" s="1">
        <v>46135</v>
      </c>
    </row>
    <row r="819" spans="1:24" x14ac:dyDescent="0.25">
      <c r="A819">
        <f t="shared" ca="1" si="64"/>
        <v>0</v>
      </c>
      <c r="C819">
        <f t="shared" ca="1" si="65"/>
        <v>0</v>
      </c>
      <c r="D819" t="s">
        <v>74</v>
      </c>
      <c r="E819" t="s">
        <v>64</v>
      </c>
      <c r="F819">
        <v>103</v>
      </c>
      <c r="G819" t="s">
        <v>588</v>
      </c>
      <c r="H819" t="s">
        <v>589</v>
      </c>
      <c r="I819" t="s">
        <v>30</v>
      </c>
      <c r="J819" t="s">
        <v>74</v>
      </c>
      <c r="K819" t="s">
        <v>67</v>
      </c>
      <c r="L819" t="s">
        <v>1760</v>
      </c>
      <c r="M819">
        <v>5000</v>
      </c>
      <c r="N819">
        <v>135</v>
      </c>
    </row>
    <row r="820" spans="1:24" x14ac:dyDescent="0.25">
      <c r="A820">
        <f t="shared" ca="1" si="64"/>
        <v>0</v>
      </c>
      <c r="C820">
        <f t="shared" ca="1" si="65"/>
        <v>0</v>
      </c>
      <c r="D820" t="s">
        <v>74</v>
      </c>
      <c r="E820" t="s">
        <v>64</v>
      </c>
      <c r="F820">
        <v>104</v>
      </c>
      <c r="G820" t="s">
        <v>588</v>
      </c>
      <c r="H820" t="s">
        <v>589</v>
      </c>
      <c r="I820" t="s">
        <v>30</v>
      </c>
      <c r="J820" t="s">
        <v>74</v>
      </c>
      <c r="K820" t="s">
        <v>67</v>
      </c>
      <c r="L820" t="s">
        <v>1760</v>
      </c>
      <c r="M820">
        <v>5000</v>
      </c>
      <c r="N820">
        <v>136</v>
      </c>
    </row>
    <row r="821" spans="1:24" x14ac:dyDescent="0.25">
      <c r="A821">
        <f t="shared" ca="1" si="64"/>
        <v>0</v>
      </c>
      <c r="C821">
        <f t="shared" ca="1" si="65"/>
        <v>0</v>
      </c>
      <c r="D821" t="s">
        <v>74</v>
      </c>
      <c r="E821" t="s">
        <v>64</v>
      </c>
      <c r="F821">
        <v>91</v>
      </c>
      <c r="G821" t="s">
        <v>311</v>
      </c>
      <c r="H821" t="s">
        <v>1761</v>
      </c>
      <c r="I821" t="s">
        <v>30</v>
      </c>
      <c r="J821" t="s">
        <v>74</v>
      </c>
      <c r="K821" t="s">
        <v>67</v>
      </c>
      <c r="L821" t="s">
        <v>1762</v>
      </c>
      <c r="M821">
        <v>5000</v>
      </c>
      <c r="N821">
        <v>137</v>
      </c>
    </row>
    <row r="822" spans="1:24" x14ac:dyDescent="0.25">
      <c r="A822">
        <f t="shared" ca="1" si="64"/>
        <v>0</v>
      </c>
      <c r="C822">
        <f t="shared" ca="1" si="65"/>
        <v>0</v>
      </c>
      <c r="D822" t="s">
        <v>355</v>
      </c>
      <c r="E822" t="s">
        <v>64</v>
      </c>
      <c r="F822">
        <v>108</v>
      </c>
      <c r="G822" t="s">
        <v>311</v>
      </c>
      <c r="H822" t="s">
        <v>1763</v>
      </c>
      <c r="I822" t="s">
        <v>30</v>
      </c>
      <c r="J822" t="s">
        <v>355</v>
      </c>
      <c r="K822" t="s">
        <v>67</v>
      </c>
      <c r="L822" t="s">
        <v>1764</v>
      </c>
      <c r="M822">
        <v>5000</v>
      </c>
      <c r="N822">
        <v>138</v>
      </c>
    </row>
    <row r="823" spans="1:24" x14ac:dyDescent="0.25">
      <c r="A823">
        <f t="shared" ca="1" si="64"/>
        <v>0</v>
      </c>
      <c r="C823">
        <f t="shared" ca="1" si="65"/>
        <v>0</v>
      </c>
      <c r="D823" t="s">
        <v>74</v>
      </c>
      <c r="E823" t="s">
        <v>64</v>
      </c>
      <c r="F823">
        <v>103</v>
      </c>
      <c r="G823" t="s">
        <v>605</v>
      </c>
      <c r="H823" t="s">
        <v>1765</v>
      </c>
      <c r="I823" t="s">
        <v>30</v>
      </c>
      <c r="J823" t="s">
        <v>74</v>
      </c>
      <c r="K823" t="s">
        <v>67</v>
      </c>
      <c r="L823" t="s">
        <v>1766</v>
      </c>
      <c r="M823">
        <v>6000</v>
      </c>
      <c r="N823">
        <v>139</v>
      </c>
      <c r="O823">
        <v>5048212</v>
      </c>
      <c r="P823">
        <v>5556</v>
      </c>
      <c r="Q823" t="s">
        <v>782</v>
      </c>
      <c r="R823">
        <v>1726.07</v>
      </c>
      <c r="S823">
        <v>1726.07</v>
      </c>
      <c r="T823">
        <v>0</v>
      </c>
      <c r="U823" t="s">
        <v>34</v>
      </c>
      <c r="V823" s="1">
        <v>46097</v>
      </c>
      <c r="W823" s="1">
        <v>46108</v>
      </c>
    </row>
    <row r="824" spans="1:24" x14ac:dyDescent="0.25">
      <c r="A824">
        <f t="shared" ca="1" si="64"/>
        <v>0</v>
      </c>
      <c r="C824">
        <f t="shared" ca="1" si="65"/>
        <v>0</v>
      </c>
      <c r="D824" t="s">
        <v>355</v>
      </c>
      <c r="E824" t="s">
        <v>64</v>
      </c>
      <c r="F824">
        <v>121</v>
      </c>
      <c r="G824" t="s">
        <v>311</v>
      </c>
      <c r="H824" t="s">
        <v>1767</v>
      </c>
      <c r="I824" t="s">
        <v>30</v>
      </c>
      <c r="J824" t="s">
        <v>355</v>
      </c>
      <c r="K824" t="s">
        <v>67</v>
      </c>
      <c r="L824" t="s">
        <v>1768</v>
      </c>
      <c r="M824">
        <v>5000</v>
      </c>
      <c r="N824">
        <v>140</v>
      </c>
      <c r="O824">
        <v>5044579</v>
      </c>
      <c r="P824">
        <v>2391</v>
      </c>
      <c r="Q824" t="s">
        <v>314</v>
      </c>
      <c r="R824">
        <v>4436.3</v>
      </c>
      <c r="S824">
        <v>4436.3</v>
      </c>
      <c r="T824">
        <v>0</v>
      </c>
      <c r="U824" t="s">
        <v>40</v>
      </c>
      <c r="V824" s="1">
        <v>46087</v>
      </c>
      <c r="W824" s="1">
        <v>46089</v>
      </c>
    </row>
    <row r="825" spans="1:24" x14ac:dyDescent="0.25">
      <c r="A825">
        <f t="shared" ca="1" si="64"/>
        <v>0</v>
      </c>
      <c r="C825">
        <f t="shared" ca="1" si="65"/>
        <v>0</v>
      </c>
      <c r="D825" t="s">
        <v>95</v>
      </c>
      <c r="E825" t="s">
        <v>64</v>
      </c>
      <c r="F825">
        <v>121</v>
      </c>
      <c r="G825" t="s">
        <v>311</v>
      </c>
      <c r="H825" t="s">
        <v>1769</v>
      </c>
      <c r="I825" t="s">
        <v>30</v>
      </c>
      <c r="J825" t="s">
        <v>95</v>
      </c>
      <c r="K825" t="s">
        <v>67</v>
      </c>
      <c r="L825" t="s">
        <v>1770</v>
      </c>
      <c r="M825">
        <v>10000</v>
      </c>
      <c r="N825">
        <v>142</v>
      </c>
      <c r="O825">
        <v>5100716</v>
      </c>
      <c r="P825">
        <v>8306</v>
      </c>
      <c r="Q825" t="s">
        <v>583</v>
      </c>
      <c r="R825">
        <v>5819</v>
      </c>
      <c r="T825">
        <v>5819</v>
      </c>
    </row>
    <row r="826" spans="1:24" x14ac:dyDescent="0.25">
      <c r="A826">
        <f t="shared" ca="1" si="64"/>
        <v>0</v>
      </c>
      <c r="C826">
        <f t="shared" ca="1" si="65"/>
        <v>0</v>
      </c>
      <c r="D826" t="s">
        <v>74</v>
      </c>
      <c r="E826" t="s">
        <v>64</v>
      </c>
      <c r="F826">
        <v>317</v>
      </c>
      <c r="G826" t="s">
        <v>311</v>
      </c>
      <c r="H826" t="s">
        <v>1771</v>
      </c>
      <c r="I826" t="s">
        <v>30</v>
      </c>
      <c r="J826" t="s">
        <v>74</v>
      </c>
      <c r="K826" t="s">
        <v>67</v>
      </c>
      <c r="L826" t="s">
        <v>1772</v>
      </c>
      <c r="M826">
        <v>6000</v>
      </c>
      <c r="N826">
        <v>144</v>
      </c>
      <c r="O826">
        <v>5056508</v>
      </c>
      <c r="P826">
        <v>2391</v>
      </c>
      <c r="Q826" t="s">
        <v>314</v>
      </c>
      <c r="R826">
        <v>3799.63</v>
      </c>
      <c r="S826">
        <v>3799.63</v>
      </c>
      <c r="T826">
        <v>0</v>
      </c>
      <c r="U826" t="s">
        <v>34</v>
      </c>
      <c r="V826" s="1">
        <v>46119</v>
      </c>
      <c r="W826" s="1">
        <v>46122</v>
      </c>
      <c r="X826" t="s">
        <v>1773</v>
      </c>
    </row>
    <row r="827" spans="1:24" x14ac:dyDescent="0.25">
      <c r="A827">
        <f t="shared" ca="1" si="64"/>
        <v>0</v>
      </c>
      <c r="C827">
        <f t="shared" ca="1" si="65"/>
        <v>0</v>
      </c>
      <c r="D827" t="s">
        <v>95</v>
      </c>
      <c r="E827" t="s">
        <v>64</v>
      </c>
      <c r="F827">
        <v>141</v>
      </c>
      <c r="G827" t="s">
        <v>605</v>
      </c>
      <c r="H827" t="s">
        <v>1774</v>
      </c>
      <c r="I827" t="s">
        <v>30</v>
      </c>
      <c r="J827" t="s">
        <v>95</v>
      </c>
      <c r="K827" t="s">
        <v>67</v>
      </c>
      <c r="L827" t="s">
        <v>1775</v>
      </c>
      <c r="M827">
        <v>28000</v>
      </c>
      <c r="N827">
        <v>145</v>
      </c>
      <c r="P827">
        <v>3718</v>
      </c>
      <c r="Q827" t="s">
        <v>113</v>
      </c>
      <c r="R827">
        <v>1868.2</v>
      </c>
      <c r="S827">
        <v>1868.2</v>
      </c>
      <c r="T827">
        <v>0</v>
      </c>
      <c r="U827" t="s">
        <v>34</v>
      </c>
      <c r="V827" s="1">
        <v>46085</v>
      </c>
      <c r="W827" s="1">
        <v>46092</v>
      </c>
    </row>
    <row r="828" spans="1:24" x14ac:dyDescent="0.25">
      <c r="A828">
        <f t="shared" ca="1" si="64"/>
        <v>0</v>
      </c>
      <c r="C828">
        <f t="shared" ca="1" si="65"/>
        <v>0</v>
      </c>
      <c r="D828" t="s">
        <v>95</v>
      </c>
      <c r="E828" t="s">
        <v>64</v>
      </c>
      <c r="F828">
        <v>158</v>
      </c>
      <c r="G828" t="s">
        <v>1677</v>
      </c>
      <c r="H828" t="s">
        <v>1733</v>
      </c>
      <c r="I828" t="s">
        <v>30</v>
      </c>
      <c r="J828" t="s">
        <v>95</v>
      </c>
      <c r="K828" t="s">
        <v>67</v>
      </c>
      <c r="L828" t="s">
        <v>1776</v>
      </c>
      <c r="M828">
        <v>15000</v>
      </c>
      <c r="N828">
        <v>146</v>
      </c>
    </row>
    <row r="829" spans="1:24" x14ac:dyDescent="0.25">
      <c r="A829">
        <f t="shared" ca="1" si="64"/>
        <v>0</v>
      </c>
      <c r="C829">
        <f t="shared" ca="1" si="65"/>
        <v>0</v>
      </c>
      <c r="D829" t="s">
        <v>26</v>
      </c>
      <c r="E829" t="s">
        <v>64</v>
      </c>
      <c r="F829">
        <v>179</v>
      </c>
      <c r="G829" t="s">
        <v>65</v>
      </c>
      <c r="H829" t="s">
        <v>66</v>
      </c>
      <c r="I829" t="s">
        <v>30</v>
      </c>
      <c r="J829" t="s">
        <v>26</v>
      </c>
      <c r="K829" t="s">
        <v>67</v>
      </c>
      <c r="L829" t="s">
        <v>1777</v>
      </c>
      <c r="M829">
        <v>5000</v>
      </c>
      <c r="N829">
        <v>147</v>
      </c>
      <c r="O829">
        <v>5010287</v>
      </c>
      <c r="P829">
        <v>4551</v>
      </c>
      <c r="Q829" t="s">
        <v>461</v>
      </c>
      <c r="R829">
        <v>729.3</v>
      </c>
      <c r="S829">
        <v>729.3</v>
      </c>
      <c r="T829">
        <v>0</v>
      </c>
      <c r="U829" t="s">
        <v>34</v>
      </c>
      <c r="V829" s="1">
        <v>46025</v>
      </c>
      <c r="W829" s="1">
        <v>46035</v>
      </c>
    </row>
    <row r="830" spans="1:24" x14ac:dyDescent="0.25">
      <c r="A830">
        <f t="shared" ca="1" si="64"/>
        <v>0</v>
      </c>
      <c r="C830">
        <f t="shared" ca="1" si="65"/>
        <v>0</v>
      </c>
      <c r="D830" t="s">
        <v>74</v>
      </c>
      <c r="E830" t="s">
        <v>64</v>
      </c>
      <c r="F830">
        <v>179</v>
      </c>
      <c r="G830" t="s">
        <v>65</v>
      </c>
      <c r="H830" t="s">
        <v>66</v>
      </c>
      <c r="I830" t="s">
        <v>30</v>
      </c>
      <c r="J830" t="s">
        <v>74</v>
      </c>
      <c r="K830" t="s">
        <v>67</v>
      </c>
      <c r="L830" t="s">
        <v>1778</v>
      </c>
      <c r="M830">
        <v>5000</v>
      </c>
      <c r="N830">
        <v>148</v>
      </c>
    </row>
    <row r="831" spans="1:24" x14ac:dyDescent="0.25">
      <c r="A831">
        <f t="shared" ca="1" si="64"/>
        <v>0</v>
      </c>
      <c r="C831">
        <f t="shared" ca="1" si="65"/>
        <v>0</v>
      </c>
      <c r="D831" t="s">
        <v>355</v>
      </c>
      <c r="E831" t="s">
        <v>64</v>
      </c>
      <c r="F831">
        <v>171</v>
      </c>
      <c r="G831" t="s">
        <v>319</v>
      </c>
      <c r="H831" t="s">
        <v>744</v>
      </c>
      <c r="I831" t="s">
        <v>30</v>
      </c>
      <c r="J831" t="s">
        <v>355</v>
      </c>
      <c r="K831" t="s">
        <v>67</v>
      </c>
      <c r="L831" t="s">
        <v>1779</v>
      </c>
      <c r="M831">
        <v>10000</v>
      </c>
      <c r="N831">
        <v>149</v>
      </c>
      <c r="O831">
        <v>5044486</v>
      </c>
      <c r="P831">
        <v>3587</v>
      </c>
      <c r="Q831" t="s">
        <v>746</v>
      </c>
      <c r="R831">
        <v>2083.5300000000002</v>
      </c>
      <c r="T831">
        <v>2083.5300000000002</v>
      </c>
      <c r="U831" t="s">
        <v>40</v>
      </c>
      <c r="V831" s="1">
        <v>46146</v>
      </c>
      <c r="W831" s="1">
        <v>46188</v>
      </c>
    </row>
    <row r="832" spans="1:24" x14ac:dyDescent="0.25">
      <c r="A832">
        <f t="shared" ca="1" si="64"/>
        <v>0</v>
      </c>
      <c r="C832">
        <f t="shared" ca="1" si="65"/>
        <v>0</v>
      </c>
      <c r="D832" t="s">
        <v>26</v>
      </c>
      <c r="E832" t="s">
        <v>64</v>
      </c>
      <c r="F832">
        <v>346</v>
      </c>
      <c r="G832" t="s">
        <v>65</v>
      </c>
      <c r="H832" t="s">
        <v>1780</v>
      </c>
      <c r="I832" t="s">
        <v>30</v>
      </c>
      <c r="J832" t="s">
        <v>26</v>
      </c>
      <c r="K832" t="s">
        <v>67</v>
      </c>
      <c r="L832" t="s">
        <v>1781</v>
      </c>
      <c r="M832">
        <v>8000</v>
      </c>
      <c r="N832">
        <v>151</v>
      </c>
      <c r="X832" t="s">
        <v>1782</v>
      </c>
    </row>
    <row r="833" spans="1:26" x14ac:dyDescent="0.25">
      <c r="A833">
        <f t="shared" ca="1" si="64"/>
        <v>0</v>
      </c>
      <c r="C833">
        <f t="shared" ca="1" si="65"/>
        <v>0</v>
      </c>
      <c r="D833" t="s">
        <v>26</v>
      </c>
      <c r="E833" t="s">
        <v>64</v>
      </c>
      <c r="F833">
        <v>346</v>
      </c>
      <c r="G833" t="s">
        <v>65</v>
      </c>
      <c r="H833" t="s">
        <v>608</v>
      </c>
      <c r="I833" t="s">
        <v>30</v>
      </c>
      <c r="J833" t="s">
        <v>26</v>
      </c>
      <c r="K833" t="s">
        <v>67</v>
      </c>
      <c r="L833" t="s">
        <v>1783</v>
      </c>
      <c r="M833">
        <v>10000</v>
      </c>
      <c r="N833">
        <v>152</v>
      </c>
      <c r="O833">
        <v>5098962</v>
      </c>
      <c r="P833">
        <v>81</v>
      </c>
      <c r="Q833" t="s">
        <v>102</v>
      </c>
      <c r="R833">
        <v>1092.6300000000001</v>
      </c>
      <c r="T833">
        <v>1092.6300000000001</v>
      </c>
    </row>
    <row r="834" spans="1:26" x14ac:dyDescent="0.25">
      <c r="A834">
        <f t="shared" ca="1" si="64"/>
        <v>0</v>
      </c>
      <c r="C834">
        <f t="shared" ca="1" si="65"/>
        <v>0</v>
      </c>
      <c r="D834" t="s">
        <v>355</v>
      </c>
      <c r="E834" t="s">
        <v>64</v>
      </c>
      <c r="F834">
        <v>505</v>
      </c>
      <c r="G834" t="s">
        <v>65</v>
      </c>
      <c r="H834" t="s">
        <v>1580</v>
      </c>
      <c r="I834" t="s">
        <v>30</v>
      </c>
      <c r="J834" t="s">
        <v>355</v>
      </c>
      <c r="K834" t="s">
        <v>67</v>
      </c>
      <c r="L834" t="s">
        <v>1784</v>
      </c>
      <c r="M834">
        <v>10000</v>
      </c>
      <c r="N834">
        <v>154</v>
      </c>
      <c r="O834">
        <v>5019726</v>
      </c>
      <c r="P834">
        <v>3587</v>
      </c>
      <c r="Q834" t="s">
        <v>746</v>
      </c>
      <c r="R834">
        <v>6600</v>
      </c>
      <c r="S834">
        <v>6600</v>
      </c>
      <c r="T834">
        <v>0</v>
      </c>
      <c r="U834" t="s">
        <v>34</v>
      </c>
      <c r="V834" s="1">
        <v>46041</v>
      </c>
      <c r="W834" s="1">
        <v>46043</v>
      </c>
    </row>
    <row r="835" spans="1:26" x14ac:dyDescent="0.25">
      <c r="A835">
        <f t="shared" ca="1" si="64"/>
        <v>0</v>
      </c>
      <c r="C835">
        <f t="shared" ca="1" si="65"/>
        <v>0</v>
      </c>
      <c r="D835" t="s">
        <v>74</v>
      </c>
      <c r="E835" t="s">
        <v>64</v>
      </c>
      <c r="F835">
        <v>663</v>
      </c>
      <c r="G835" t="s">
        <v>605</v>
      </c>
      <c r="H835" t="s">
        <v>1785</v>
      </c>
      <c r="I835" t="s">
        <v>30</v>
      </c>
      <c r="J835" t="s">
        <v>74</v>
      </c>
      <c r="K835" t="s">
        <v>67</v>
      </c>
      <c r="L835" t="s">
        <v>1786</v>
      </c>
      <c r="M835">
        <v>8000</v>
      </c>
      <c r="N835">
        <v>155</v>
      </c>
      <c r="O835">
        <v>5027402</v>
      </c>
      <c r="P835">
        <v>6642</v>
      </c>
      <c r="Q835" t="s">
        <v>1787</v>
      </c>
      <c r="R835">
        <v>13947.1</v>
      </c>
      <c r="S835">
        <v>13947.1</v>
      </c>
      <c r="T835">
        <v>0</v>
      </c>
      <c r="U835" t="s">
        <v>34</v>
      </c>
      <c r="V835" s="1">
        <v>46062</v>
      </c>
      <c r="W835" s="1">
        <v>46071</v>
      </c>
    </row>
    <row r="836" spans="1:26" x14ac:dyDescent="0.25">
      <c r="A836">
        <f t="shared" ca="1" si="64"/>
        <v>0</v>
      </c>
      <c r="C836">
        <f t="shared" ca="1" si="65"/>
        <v>0</v>
      </c>
      <c r="D836" t="s">
        <v>26</v>
      </c>
      <c r="E836" t="s">
        <v>64</v>
      </c>
      <c r="F836">
        <v>287</v>
      </c>
      <c r="G836" t="s">
        <v>319</v>
      </c>
      <c r="H836" t="s">
        <v>320</v>
      </c>
      <c r="I836" t="s">
        <v>30</v>
      </c>
      <c r="J836" t="s">
        <v>26</v>
      </c>
      <c r="K836" t="s">
        <v>67</v>
      </c>
      <c r="L836" t="s">
        <v>321</v>
      </c>
      <c r="M836">
        <v>8000</v>
      </c>
      <c r="N836">
        <v>156</v>
      </c>
      <c r="O836">
        <v>5087801</v>
      </c>
      <c r="P836">
        <v>5197</v>
      </c>
      <c r="Q836" t="s">
        <v>132</v>
      </c>
      <c r="R836">
        <v>6528.5</v>
      </c>
      <c r="T836">
        <v>6528.5</v>
      </c>
      <c r="U836" t="s">
        <v>107</v>
      </c>
      <c r="V836" s="1">
        <v>46314</v>
      </c>
      <c r="W836" s="1">
        <v>46317</v>
      </c>
      <c r="X836" t="s">
        <v>1788</v>
      </c>
    </row>
    <row r="837" spans="1:26" x14ac:dyDescent="0.25">
      <c r="A837">
        <f t="shared" ca="1" si="64"/>
        <v>0</v>
      </c>
      <c r="C837">
        <f t="shared" ca="1" si="65"/>
        <v>0</v>
      </c>
      <c r="D837" t="s">
        <v>74</v>
      </c>
      <c r="E837" t="s">
        <v>64</v>
      </c>
      <c r="F837">
        <v>2028</v>
      </c>
      <c r="G837" t="s">
        <v>319</v>
      </c>
      <c r="H837" t="s">
        <v>780</v>
      </c>
      <c r="I837" t="s">
        <v>30</v>
      </c>
      <c r="J837" t="s">
        <v>74</v>
      </c>
      <c r="K837" t="s">
        <v>67</v>
      </c>
      <c r="L837" t="s">
        <v>1789</v>
      </c>
      <c r="M837">
        <v>7000</v>
      </c>
      <c r="N837">
        <v>157</v>
      </c>
      <c r="O837">
        <v>5074333</v>
      </c>
      <c r="P837">
        <v>2391</v>
      </c>
      <c r="Q837" t="s">
        <v>314</v>
      </c>
      <c r="R837">
        <v>0</v>
      </c>
      <c r="T837">
        <v>0</v>
      </c>
    </row>
    <row r="838" spans="1:26" x14ac:dyDescent="0.25">
      <c r="A838">
        <f t="shared" ca="1" si="64"/>
        <v>0</v>
      </c>
      <c r="C838">
        <f t="shared" ca="1" si="65"/>
        <v>0</v>
      </c>
      <c r="D838" t="s">
        <v>26</v>
      </c>
      <c r="E838" t="s">
        <v>64</v>
      </c>
      <c r="F838">
        <v>317</v>
      </c>
      <c r="G838" t="s">
        <v>311</v>
      </c>
      <c r="H838" t="s">
        <v>1790</v>
      </c>
      <c r="I838" t="s">
        <v>30</v>
      </c>
      <c r="J838" t="s">
        <v>26</v>
      </c>
      <c r="K838" t="s">
        <v>67</v>
      </c>
      <c r="L838" t="s">
        <v>1791</v>
      </c>
      <c r="M838">
        <v>16000</v>
      </c>
      <c r="N838">
        <v>158</v>
      </c>
      <c r="O838">
        <v>5019580</v>
      </c>
      <c r="P838">
        <v>81</v>
      </c>
      <c r="Q838" t="s">
        <v>102</v>
      </c>
      <c r="R838">
        <v>16842.64</v>
      </c>
      <c r="T838">
        <v>16842.64</v>
      </c>
      <c r="U838" t="s">
        <v>40</v>
      </c>
      <c r="V838" s="1">
        <v>46266</v>
      </c>
      <c r="W838" s="1">
        <v>46295</v>
      </c>
    </row>
    <row r="839" spans="1:26" x14ac:dyDescent="0.25">
      <c r="A839">
        <f t="shared" ca="1" si="64"/>
        <v>0</v>
      </c>
      <c r="C839">
        <f t="shared" ca="1" si="65"/>
        <v>0</v>
      </c>
      <c r="D839" t="s">
        <v>26</v>
      </c>
      <c r="E839" t="s">
        <v>64</v>
      </c>
      <c r="F839">
        <v>103</v>
      </c>
      <c r="G839" t="s">
        <v>588</v>
      </c>
      <c r="H839" t="s">
        <v>1362</v>
      </c>
      <c r="I839" t="s">
        <v>30</v>
      </c>
      <c r="J839" t="s">
        <v>26</v>
      </c>
      <c r="K839" t="s">
        <v>67</v>
      </c>
      <c r="L839" t="s">
        <v>1363</v>
      </c>
      <c r="M839">
        <v>22000</v>
      </c>
      <c r="N839">
        <v>159</v>
      </c>
      <c r="O839">
        <v>4879465</v>
      </c>
      <c r="P839">
        <v>81</v>
      </c>
      <c r="Q839" t="s">
        <v>102</v>
      </c>
      <c r="R839">
        <v>3078.19</v>
      </c>
      <c r="S839">
        <v>3078.19</v>
      </c>
      <c r="T839">
        <v>0</v>
      </c>
      <c r="U839" t="s">
        <v>40</v>
      </c>
      <c r="V839" s="1">
        <v>46219</v>
      </c>
      <c r="W839" s="1">
        <v>46222</v>
      </c>
      <c r="X839" t="s">
        <v>1792</v>
      </c>
    </row>
    <row r="840" spans="1:26" x14ac:dyDescent="0.25">
      <c r="A840">
        <f t="shared" ca="1" si="64"/>
        <v>0</v>
      </c>
      <c r="C840">
        <f t="shared" ca="1" si="65"/>
        <v>0</v>
      </c>
      <c r="D840" t="s">
        <v>236</v>
      </c>
      <c r="E840" t="s">
        <v>237</v>
      </c>
      <c r="F840">
        <v>1340</v>
      </c>
      <c r="G840" t="s">
        <v>907</v>
      </c>
      <c r="H840" t="s">
        <v>1793</v>
      </c>
      <c r="I840" t="s">
        <v>44</v>
      </c>
      <c r="J840" t="s">
        <v>236</v>
      </c>
      <c r="K840" t="s">
        <v>240</v>
      </c>
      <c r="L840" t="s">
        <v>1531</v>
      </c>
      <c r="M840">
        <v>6000</v>
      </c>
      <c r="N840">
        <v>38</v>
      </c>
      <c r="O840">
        <v>5062934</v>
      </c>
      <c r="P840">
        <v>153</v>
      </c>
      <c r="Q840" t="s">
        <v>98</v>
      </c>
      <c r="R840">
        <v>2431.25</v>
      </c>
      <c r="S840">
        <v>2431.25</v>
      </c>
      <c r="T840">
        <v>0</v>
      </c>
      <c r="U840" t="s">
        <v>34</v>
      </c>
    </row>
    <row r="841" spans="1:26" x14ac:dyDescent="0.25">
      <c r="A841">
        <f t="shared" ca="1" si="64"/>
        <v>0</v>
      </c>
      <c r="C841">
        <f t="shared" ca="1" si="65"/>
        <v>0</v>
      </c>
      <c r="D841" t="s">
        <v>355</v>
      </c>
      <c r="E841" t="s">
        <v>237</v>
      </c>
      <c r="F841">
        <v>84</v>
      </c>
      <c r="G841" t="s">
        <v>580</v>
      </c>
      <c r="H841" t="s">
        <v>1794</v>
      </c>
      <c r="I841" t="s">
        <v>30</v>
      </c>
      <c r="J841" t="s">
        <v>355</v>
      </c>
      <c r="K841" t="s">
        <v>240</v>
      </c>
      <c r="L841" t="s">
        <v>1795</v>
      </c>
      <c r="M841">
        <v>15000</v>
      </c>
      <c r="N841">
        <v>76</v>
      </c>
      <c r="O841">
        <v>5033725</v>
      </c>
      <c r="P841">
        <v>2391</v>
      </c>
      <c r="Q841" t="s">
        <v>314</v>
      </c>
      <c r="R841">
        <v>4404.46</v>
      </c>
      <c r="S841">
        <v>4404.46</v>
      </c>
      <c r="T841">
        <v>0</v>
      </c>
      <c r="U841" t="s">
        <v>34</v>
      </c>
    </row>
    <row r="842" spans="1:26" x14ac:dyDescent="0.25">
      <c r="A842">
        <f t="shared" ca="1" si="64"/>
        <v>0</v>
      </c>
      <c r="C842">
        <f t="shared" ca="1" si="65"/>
        <v>0</v>
      </c>
      <c r="D842" t="s">
        <v>41</v>
      </c>
      <c r="E842" t="s">
        <v>27</v>
      </c>
      <c r="F842">
        <v>533</v>
      </c>
      <c r="G842" t="s">
        <v>75</v>
      </c>
      <c r="H842" t="s">
        <v>769</v>
      </c>
      <c r="I842" t="s">
        <v>44</v>
      </c>
      <c r="J842" t="s">
        <v>41</v>
      </c>
      <c r="K842" t="s">
        <v>31</v>
      </c>
      <c r="L842" t="s">
        <v>786</v>
      </c>
      <c r="O842">
        <v>5033966</v>
      </c>
      <c r="P842">
        <v>25204</v>
      </c>
      <c r="Q842" t="s">
        <v>46</v>
      </c>
      <c r="R842">
        <v>1528.36</v>
      </c>
      <c r="S842">
        <v>1528.36</v>
      </c>
      <c r="T842">
        <v>0</v>
      </c>
      <c r="U842" t="s">
        <v>34</v>
      </c>
      <c r="V842" s="1">
        <v>46068</v>
      </c>
      <c r="W842" s="1">
        <v>46073</v>
      </c>
    </row>
    <row r="843" spans="1:26" x14ac:dyDescent="0.25">
      <c r="A843">
        <f t="shared" ca="1" si="64"/>
        <v>0</v>
      </c>
      <c r="C843">
        <f t="shared" ca="1" si="65"/>
        <v>0</v>
      </c>
      <c r="D843" t="s">
        <v>35</v>
      </c>
      <c r="E843" t="s">
        <v>49</v>
      </c>
      <c r="F843">
        <v>1548</v>
      </c>
      <c r="G843" t="s">
        <v>231</v>
      </c>
      <c r="H843" t="s">
        <v>1796</v>
      </c>
      <c r="I843" t="s">
        <v>30</v>
      </c>
      <c r="J843" t="s">
        <v>35</v>
      </c>
      <c r="K843" t="s">
        <v>326</v>
      </c>
      <c r="L843" t="s">
        <v>1797</v>
      </c>
      <c r="M843">
        <v>4000</v>
      </c>
      <c r="N843">
        <v>635</v>
      </c>
      <c r="X843" t="s">
        <v>810</v>
      </c>
    </row>
    <row r="844" spans="1:26" x14ac:dyDescent="0.25">
      <c r="A844">
        <f t="shared" ca="1" si="64"/>
        <v>0</v>
      </c>
      <c r="C844">
        <f t="shared" ca="1" si="65"/>
        <v>0</v>
      </c>
      <c r="D844" t="s">
        <v>236</v>
      </c>
      <c r="E844" t="s">
        <v>49</v>
      </c>
      <c r="F844">
        <v>1760</v>
      </c>
      <c r="G844" t="s">
        <v>263</v>
      </c>
      <c r="H844" t="s">
        <v>846</v>
      </c>
      <c r="I844" t="s">
        <v>44</v>
      </c>
      <c r="J844" t="s">
        <v>236</v>
      </c>
      <c r="K844" t="s">
        <v>326</v>
      </c>
      <c r="L844" t="s">
        <v>1798</v>
      </c>
      <c r="M844">
        <v>3000</v>
      </c>
      <c r="N844">
        <v>601</v>
      </c>
      <c r="X844" t="s">
        <v>175</v>
      </c>
    </row>
    <row r="845" spans="1:26" x14ac:dyDescent="0.25">
      <c r="A845">
        <f t="shared" ca="1" si="64"/>
        <v>0</v>
      </c>
      <c r="C845">
        <f t="shared" ca="1" si="65"/>
        <v>0</v>
      </c>
      <c r="D845" t="s">
        <v>41</v>
      </c>
      <c r="E845" t="s">
        <v>27</v>
      </c>
      <c r="F845">
        <v>486</v>
      </c>
      <c r="G845" t="s">
        <v>1078</v>
      </c>
      <c r="H845" t="s">
        <v>1799</v>
      </c>
      <c r="I845" t="s">
        <v>44</v>
      </c>
      <c r="J845" t="s">
        <v>41</v>
      </c>
      <c r="K845" t="s">
        <v>31</v>
      </c>
      <c r="L845" t="s">
        <v>1800</v>
      </c>
      <c r="O845">
        <v>5116780</v>
      </c>
      <c r="P845">
        <v>14203</v>
      </c>
      <c r="Q845" t="s">
        <v>1189</v>
      </c>
      <c r="R845">
        <v>4978.38</v>
      </c>
      <c r="T845">
        <v>4978.38</v>
      </c>
      <c r="U845" t="s">
        <v>40</v>
      </c>
      <c r="V845" s="1">
        <v>46280</v>
      </c>
      <c r="W845" s="1">
        <v>46341</v>
      </c>
      <c r="Y845" t="s">
        <v>104</v>
      </c>
      <c r="Z845" s="1">
        <v>46269</v>
      </c>
    </row>
    <row r="846" spans="1:26" x14ac:dyDescent="0.25">
      <c r="A846">
        <f t="shared" ca="1" si="64"/>
        <v>0</v>
      </c>
      <c r="C846">
        <f t="shared" ca="1" si="65"/>
        <v>0</v>
      </c>
      <c r="D846" t="s">
        <v>285</v>
      </c>
      <c r="E846" t="s">
        <v>49</v>
      </c>
      <c r="F846">
        <v>1596</v>
      </c>
      <c r="G846" t="s">
        <v>670</v>
      </c>
      <c r="H846" t="s">
        <v>1801</v>
      </c>
      <c r="I846" t="s">
        <v>187</v>
      </c>
      <c r="J846" t="s">
        <v>285</v>
      </c>
      <c r="K846" t="s">
        <v>326</v>
      </c>
      <c r="L846" t="s">
        <v>1802</v>
      </c>
      <c r="O846">
        <v>5125368</v>
      </c>
      <c r="P846">
        <v>17125</v>
      </c>
      <c r="Q846" t="s">
        <v>721</v>
      </c>
      <c r="R846">
        <v>2879.8</v>
      </c>
      <c r="T846">
        <v>2879.8</v>
      </c>
      <c r="U846" t="s">
        <v>40</v>
      </c>
      <c r="V846" s="1">
        <v>46279</v>
      </c>
      <c r="W846" s="1">
        <v>46281</v>
      </c>
    </row>
    <row r="847" spans="1:26" x14ac:dyDescent="0.25">
      <c r="A847">
        <f t="shared" ca="1" si="64"/>
        <v>0</v>
      </c>
      <c r="C847">
        <f t="shared" ca="1" si="65"/>
        <v>0</v>
      </c>
      <c r="D847" t="s">
        <v>203</v>
      </c>
      <c r="E847" t="s">
        <v>49</v>
      </c>
      <c r="F847">
        <v>1606</v>
      </c>
      <c r="G847" t="s">
        <v>689</v>
      </c>
      <c r="H847" t="s">
        <v>1803</v>
      </c>
      <c r="I847" t="s">
        <v>44</v>
      </c>
      <c r="J847" t="s">
        <v>203</v>
      </c>
      <c r="K847" t="s">
        <v>52</v>
      </c>
      <c r="L847" t="s">
        <v>927</v>
      </c>
      <c r="M847">
        <v>5000</v>
      </c>
      <c r="N847">
        <v>682</v>
      </c>
      <c r="O847">
        <v>5023205</v>
      </c>
      <c r="P847">
        <v>7372</v>
      </c>
      <c r="Q847" t="s">
        <v>937</v>
      </c>
      <c r="R847">
        <v>5001.66</v>
      </c>
      <c r="S847">
        <v>5001.66</v>
      </c>
      <c r="T847">
        <v>0</v>
      </c>
      <c r="U847" t="s">
        <v>34</v>
      </c>
      <c r="V847" s="1">
        <v>46090</v>
      </c>
      <c r="W847" s="1">
        <v>46101</v>
      </c>
      <c r="X847" t="s">
        <v>1722</v>
      </c>
    </row>
    <row r="848" spans="1:26" x14ac:dyDescent="0.25">
      <c r="A848">
        <f t="shared" ca="1" si="64"/>
        <v>0</v>
      </c>
      <c r="C848">
        <f t="shared" ca="1" si="65"/>
        <v>0</v>
      </c>
      <c r="D848" t="s">
        <v>221</v>
      </c>
      <c r="E848" t="s">
        <v>297</v>
      </c>
      <c r="F848">
        <v>2001</v>
      </c>
      <c r="G848" t="s">
        <v>372</v>
      </c>
      <c r="H848" t="s">
        <v>373</v>
      </c>
      <c r="I848" t="s">
        <v>187</v>
      </c>
      <c r="J848" t="s">
        <v>221</v>
      </c>
      <c r="K848" t="s">
        <v>300</v>
      </c>
      <c r="L848" t="s">
        <v>1804</v>
      </c>
      <c r="M848">
        <v>5000</v>
      </c>
      <c r="N848">
        <v>470</v>
      </c>
      <c r="O848">
        <v>5043784</v>
      </c>
      <c r="P848">
        <v>28284</v>
      </c>
      <c r="Q848" t="s">
        <v>362</v>
      </c>
      <c r="R848">
        <v>4675</v>
      </c>
      <c r="S848">
        <v>4675</v>
      </c>
      <c r="T848">
        <v>0</v>
      </c>
      <c r="U848" t="s">
        <v>34</v>
      </c>
      <c r="V848" s="1">
        <v>46092</v>
      </c>
      <c r="W848" s="1">
        <v>46094</v>
      </c>
    </row>
    <row r="849" spans="1:26" x14ac:dyDescent="0.25">
      <c r="A849">
        <f t="shared" ca="1" si="64"/>
        <v>0</v>
      </c>
      <c r="C849">
        <f t="shared" ca="1" si="65"/>
        <v>0</v>
      </c>
      <c r="D849" t="s">
        <v>209</v>
      </c>
      <c r="E849" t="s">
        <v>49</v>
      </c>
      <c r="F849">
        <v>1643</v>
      </c>
      <c r="G849" t="s">
        <v>231</v>
      </c>
      <c r="H849" t="s">
        <v>796</v>
      </c>
      <c r="I849" t="s">
        <v>44</v>
      </c>
      <c r="J849" t="s">
        <v>209</v>
      </c>
      <c r="K849" t="s">
        <v>326</v>
      </c>
      <c r="L849" t="s">
        <v>1805</v>
      </c>
      <c r="M849">
        <v>2000</v>
      </c>
      <c r="N849">
        <v>599</v>
      </c>
      <c r="O849">
        <v>5107755</v>
      </c>
      <c r="P849">
        <v>7372</v>
      </c>
      <c r="Q849" t="s">
        <v>937</v>
      </c>
      <c r="R849">
        <v>1035.67</v>
      </c>
      <c r="T849">
        <v>1035.67</v>
      </c>
      <c r="U849" t="s">
        <v>40</v>
      </c>
      <c r="V849" s="1">
        <v>46279</v>
      </c>
      <c r="W849" s="1">
        <v>46339</v>
      </c>
      <c r="X849" t="s">
        <v>1806</v>
      </c>
    </row>
    <row r="851" spans="1:26" x14ac:dyDescent="0.25">
      <c r="A851">
        <f t="shared" ref="A851:A857" ca="1" si="66">+ Cmde</f>
        <v>0</v>
      </c>
      <c r="C851">
        <f t="shared" ref="C851:C857" ca="1" si="67">+ Devis</f>
        <v>0</v>
      </c>
      <c r="D851" t="s">
        <v>35</v>
      </c>
      <c r="E851" t="s">
        <v>64</v>
      </c>
      <c r="F851">
        <v>1980</v>
      </c>
      <c r="G851" t="s">
        <v>747</v>
      </c>
      <c r="H851" t="s">
        <v>1278</v>
      </c>
      <c r="I851" t="s">
        <v>30</v>
      </c>
      <c r="J851" t="s">
        <v>35</v>
      </c>
      <c r="K851" t="s">
        <v>67</v>
      </c>
      <c r="L851" t="s">
        <v>1807</v>
      </c>
      <c r="M851">
        <v>5000</v>
      </c>
      <c r="N851">
        <v>161</v>
      </c>
      <c r="O851">
        <v>5048883</v>
      </c>
      <c r="P851">
        <v>3718</v>
      </c>
      <c r="Q851" t="s">
        <v>113</v>
      </c>
      <c r="R851">
        <v>21493.3</v>
      </c>
      <c r="T851">
        <v>21493.3</v>
      </c>
      <c r="U851" t="s">
        <v>40</v>
      </c>
      <c r="V851" s="1">
        <v>46111</v>
      </c>
      <c r="W851" s="1">
        <v>46115</v>
      </c>
      <c r="X851" t="s">
        <v>1808</v>
      </c>
    </row>
    <row r="852" spans="1:26" x14ac:dyDescent="0.25">
      <c r="A852">
        <f t="shared" ca="1" si="66"/>
        <v>0</v>
      </c>
      <c r="C852">
        <f t="shared" ca="1" si="67"/>
        <v>0</v>
      </c>
      <c r="D852" t="s">
        <v>48</v>
      </c>
      <c r="E852" t="s">
        <v>64</v>
      </c>
      <c r="F852">
        <v>1980</v>
      </c>
      <c r="G852" t="s">
        <v>747</v>
      </c>
      <c r="H852" t="s">
        <v>1278</v>
      </c>
      <c r="I852" t="s">
        <v>30</v>
      </c>
      <c r="J852" t="s">
        <v>48</v>
      </c>
      <c r="K852" t="s">
        <v>67</v>
      </c>
      <c r="L852" t="s">
        <v>1179</v>
      </c>
      <c r="M852">
        <v>7000</v>
      </c>
      <c r="N852">
        <v>162</v>
      </c>
      <c r="X852" t="s">
        <v>1809</v>
      </c>
    </row>
    <row r="853" spans="1:26" x14ac:dyDescent="0.25">
      <c r="A853">
        <f t="shared" ca="1" si="66"/>
        <v>0</v>
      </c>
      <c r="C853">
        <f t="shared" ca="1" si="67"/>
        <v>0</v>
      </c>
      <c r="D853" t="s">
        <v>74</v>
      </c>
      <c r="E853" t="s">
        <v>64</v>
      </c>
      <c r="F853">
        <v>365</v>
      </c>
      <c r="G853" t="s">
        <v>755</v>
      </c>
      <c r="H853" t="s">
        <v>1810</v>
      </c>
      <c r="I853" t="s">
        <v>30</v>
      </c>
      <c r="J853" t="s">
        <v>74</v>
      </c>
      <c r="K853" t="s">
        <v>67</v>
      </c>
      <c r="L853" t="s">
        <v>1811</v>
      </c>
      <c r="M853">
        <v>6000</v>
      </c>
      <c r="N853">
        <v>163</v>
      </c>
      <c r="O853">
        <v>5011045</v>
      </c>
      <c r="P853">
        <v>4146</v>
      </c>
      <c r="Q853" t="s">
        <v>91</v>
      </c>
      <c r="R853">
        <v>5401.88</v>
      </c>
      <c r="T853">
        <v>5401.88</v>
      </c>
      <c r="U853" t="s">
        <v>40</v>
      </c>
      <c r="V853" s="1">
        <v>46146</v>
      </c>
      <c r="W853" s="1">
        <v>46172</v>
      </c>
    </row>
    <row r="854" spans="1:26" x14ac:dyDescent="0.25">
      <c r="A854">
        <f t="shared" ca="1" si="66"/>
        <v>0</v>
      </c>
      <c r="C854">
        <f t="shared" ca="1" si="67"/>
        <v>0</v>
      </c>
      <c r="D854" t="s">
        <v>355</v>
      </c>
      <c r="E854" t="s">
        <v>64</v>
      </c>
      <c r="F854">
        <v>103</v>
      </c>
      <c r="G854" t="s">
        <v>588</v>
      </c>
      <c r="H854" t="s">
        <v>1362</v>
      </c>
      <c r="I854" t="s">
        <v>30</v>
      </c>
      <c r="J854" t="s">
        <v>355</v>
      </c>
      <c r="K854" t="s">
        <v>67</v>
      </c>
      <c r="L854" t="s">
        <v>1812</v>
      </c>
      <c r="M854">
        <v>10000</v>
      </c>
      <c r="N854">
        <v>164</v>
      </c>
      <c r="O854">
        <v>5044527</v>
      </c>
      <c r="P854">
        <v>3587</v>
      </c>
      <c r="Q854" t="s">
        <v>746</v>
      </c>
      <c r="R854">
        <v>3046.51</v>
      </c>
      <c r="S854">
        <v>3046.51</v>
      </c>
      <c r="T854">
        <v>0</v>
      </c>
      <c r="U854" t="s">
        <v>34</v>
      </c>
      <c r="V854" s="1">
        <v>46146</v>
      </c>
      <c r="W854" s="1">
        <v>46188</v>
      </c>
    </row>
    <row r="855" spans="1:26" x14ac:dyDescent="0.25">
      <c r="A855">
        <f t="shared" ca="1" si="66"/>
        <v>0</v>
      </c>
      <c r="C855">
        <f t="shared" ca="1" si="67"/>
        <v>0</v>
      </c>
      <c r="D855" t="s">
        <v>35</v>
      </c>
      <c r="E855" t="s">
        <v>64</v>
      </c>
      <c r="F855">
        <v>103</v>
      </c>
      <c r="G855" t="s">
        <v>588</v>
      </c>
      <c r="H855" t="s">
        <v>589</v>
      </c>
      <c r="I855" t="s">
        <v>30</v>
      </c>
      <c r="J855" t="s">
        <v>35</v>
      </c>
      <c r="K855" t="s">
        <v>67</v>
      </c>
      <c r="L855" t="s">
        <v>590</v>
      </c>
      <c r="M855">
        <v>8000</v>
      </c>
      <c r="N855">
        <v>165</v>
      </c>
      <c r="O855">
        <v>5019402</v>
      </c>
      <c r="P855">
        <v>3718</v>
      </c>
      <c r="Q855" t="s">
        <v>113</v>
      </c>
      <c r="R855">
        <v>2919.88</v>
      </c>
      <c r="S855">
        <v>2919.88</v>
      </c>
      <c r="T855">
        <v>0</v>
      </c>
      <c r="U855" t="s">
        <v>34</v>
      </c>
      <c r="V855" s="1">
        <v>46047</v>
      </c>
      <c r="W855" s="1">
        <v>46061</v>
      </c>
    </row>
    <row r="856" spans="1:26" x14ac:dyDescent="0.25">
      <c r="A856">
        <f t="shared" ca="1" si="66"/>
        <v>0</v>
      </c>
      <c r="C856">
        <f t="shared" ca="1" si="67"/>
        <v>0</v>
      </c>
      <c r="D856" t="s">
        <v>35</v>
      </c>
      <c r="E856" t="s">
        <v>64</v>
      </c>
      <c r="F856">
        <v>104</v>
      </c>
      <c r="G856" t="s">
        <v>588</v>
      </c>
      <c r="H856" t="s">
        <v>589</v>
      </c>
      <c r="I856" t="s">
        <v>30</v>
      </c>
      <c r="J856" t="s">
        <v>35</v>
      </c>
      <c r="K856" t="s">
        <v>67</v>
      </c>
      <c r="L856" t="s">
        <v>590</v>
      </c>
      <c r="M856">
        <v>8000</v>
      </c>
      <c r="N856">
        <v>167</v>
      </c>
      <c r="O856">
        <v>5013910</v>
      </c>
      <c r="P856">
        <v>6364</v>
      </c>
      <c r="Q856" t="s">
        <v>331</v>
      </c>
      <c r="R856">
        <v>1622.2</v>
      </c>
      <c r="T856">
        <v>1622.2</v>
      </c>
      <c r="U856" t="s">
        <v>40</v>
      </c>
      <c r="V856" s="1">
        <v>46049</v>
      </c>
      <c r="W856" s="1">
        <v>46065</v>
      </c>
    </row>
    <row r="857" spans="1:26" x14ac:dyDescent="0.25">
      <c r="A857">
        <f t="shared" ca="1" si="66"/>
        <v>0</v>
      </c>
      <c r="C857">
        <f t="shared" ca="1" si="67"/>
        <v>0</v>
      </c>
      <c r="D857" t="s">
        <v>221</v>
      </c>
      <c r="E857" t="s">
        <v>58</v>
      </c>
      <c r="F857">
        <v>11</v>
      </c>
      <c r="G857" t="s">
        <v>426</v>
      </c>
      <c r="H857" t="s">
        <v>1813</v>
      </c>
      <c r="I857" t="s">
        <v>187</v>
      </c>
      <c r="J857" t="s">
        <v>221</v>
      </c>
      <c r="K857" t="s">
        <v>215</v>
      </c>
      <c r="L857" t="s">
        <v>1411</v>
      </c>
      <c r="M857">
        <v>3000</v>
      </c>
      <c r="N857">
        <v>169</v>
      </c>
      <c r="O857">
        <v>5025051</v>
      </c>
      <c r="P857">
        <v>1971</v>
      </c>
      <c r="Q857" t="s">
        <v>429</v>
      </c>
      <c r="R857">
        <v>1668.62</v>
      </c>
      <c r="S857">
        <v>1668.62</v>
      </c>
      <c r="T857">
        <v>0</v>
      </c>
      <c r="U857" t="s">
        <v>34</v>
      </c>
      <c r="V857" s="1">
        <v>46111</v>
      </c>
      <c r="W857" s="1">
        <v>46142</v>
      </c>
      <c r="X857" t="s">
        <v>1814</v>
      </c>
    </row>
    <row r="858" spans="1:26" x14ac:dyDescent="0.25">
      <c r="A858" t="s">
        <v>1815</v>
      </c>
    </row>
    <row r="859" spans="1:26" x14ac:dyDescent="0.25">
      <c r="A859">
        <f t="shared" ref="A859:A876" ca="1" si="68">+ Cmde</f>
        <v>0</v>
      </c>
      <c r="C859">
        <f t="shared" ref="C859:C876" ca="1" si="69">+ Devis</f>
        <v>0</v>
      </c>
      <c r="D859" t="s">
        <v>196</v>
      </c>
      <c r="E859" t="s">
        <v>58</v>
      </c>
      <c r="F859">
        <v>15</v>
      </c>
      <c r="G859" t="s">
        <v>59</v>
      </c>
      <c r="H859" t="s">
        <v>1816</v>
      </c>
      <c r="I859" t="s">
        <v>187</v>
      </c>
      <c r="J859" t="s">
        <v>196</v>
      </c>
      <c r="K859" t="s">
        <v>61</v>
      </c>
      <c r="L859" t="s">
        <v>1817</v>
      </c>
      <c r="M859">
        <v>3000</v>
      </c>
      <c r="N859">
        <v>170</v>
      </c>
      <c r="O859">
        <v>5006423</v>
      </c>
      <c r="P859">
        <v>15962</v>
      </c>
      <c r="Q859" t="s">
        <v>1313</v>
      </c>
      <c r="R859">
        <v>638.04</v>
      </c>
      <c r="S859">
        <v>638.04</v>
      </c>
      <c r="T859">
        <v>0</v>
      </c>
      <c r="U859" t="s">
        <v>34</v>
      </c>
    </row>
    <row r="860" spans="1:26" x14ac:dyDescent="0.25">
      <c r="A860">
        <f t="shared" ca="1" si="68"/>
        <v>0</v>
      </c>
      <c r="C860">
        <f t="shared" ca="1" si="69"/>
        <v>0</v>
      </c>
      <c r="D860" t="s">
        <v>183</v>
      </c>
      <c r="E860" t="s">
        <v>58</v>
      </c>
      <c r="F860">
        <v>21</v>
      </c>
      <c r="G860" t="s">
        <v>464</v>
      </c>
      <c r="H860" t="s">
        <v>1818</v>
      </c>
      <c r="I860" t="s">
        <v>187</v>
      </c>
      <c r="J860" t="s">
        <v>183</v>
      </c>
      <c r="K860" t="s">
        <v>61</v>
      </c>
      <c r="L860" t="s">
        <v>1819</v>
      </c>
      <c r="M860">
        <v>18500</v>
      </c>
      <c r="N860">
        <v>171</v>
      </c>
      <c r="X860" t="s">
        <v>1820</v>
      </c>
    </row>
    <row r="861" spans="1:26" x14ac:dyDescent="0.25">
      <c r="A861">
        <f t="shared" ca="1" si="68"/>
        <v>0</v>
      </c>
      <c r="C861">
        <f t="shared" ca="1" si="69"/>
        <v>0</v>
      </c>
      <c r="D861" t="s">
        <v>183</v>
      </c>
      <c r="E861" t="s">
        <v>58</v>
      </c>
      <c r="F861">
        <v>33</v>
      </c>
      <c r="G861" t="s">
        <v>213</v>
      </c>
      <c r="H861" t="s">
        <v>1821</v>
      </c>
      <c r="I861" t="s">
        <v>187</v>
      </c>
      <c r="J861" t="s">
        <v>183</v>
      </c>
      <c r="K861" t="s">
        <v>61</v>
      </c>
      <c r="L861" t="s">
        <v>1822</v>
      </c>
      <c r="M861">
        <v>9000</v>
      </c>
      <c r="N861">
        <v>172</v>
      </c>
      <c r="O861">
        <v>5006595</v>
      </c>
      <c r="P861">
        <v>8598</v>
      </c>
      <c r="Q861" t="s">
        <v>78</v>
      </c>
      <c r="R861">
        <v>1199</v>
      </c>
      <c r="T861">
        <v>1199</v>
      </c>
    </row>
    <row r="862" spans="1:26" x14ac:dyDescent="0.25">
      <c r="A862">
        <f t="shared" ca="1" si="68"/>
        <v>0</v>
      </c>
      <c r="C862">
        <f t="shared" ca="1" si="69"/>
        <v>0</v>
      </c>
      <c r="D862" t="s">
        <v>285</v>
      </c>
      <c r="E862" t="s">
        <v>58</v>
      </c>
      <c r="F862">
        <v>54</v>
      </c>
      <c r="G862" t="s">
        <v>1038</v>
      </c>
      <c r="H862" t="s">
        <v>1823</v>
      </c>
      <c r="I862" t="s">
        <v>187</v>
      </c>
      <c r="J862" t="s">
        <v>285</v>
      </c>
      <c r="K862" t="s">
        <v>61</v>
      </c>
      <c r="L862" t="s">
        <v>1824</v>
      </c>
      <c r="M862">
        <v>12000</v>
      </c>
      <c r="N862">
        <v>173</v>
      </c>
      <c r="O862">
        <v>5085984</v>
      </c>
      <c r="P862">
        <v>12363</v>
      </c>
      <c r="Q862" t="s">
        <v>823</v>
      </c>
      <c r="R862">
        <v>15950</v>
      </c>
      <c r="T862">
        <v>15950</v>
      </c>
      <c r="U862" t="s">
        <v>34</v>
      </c>
      <c r="V862" s="1">
        <v>46279</v>
      </c>
      <c r="W862" s="1">
        <v>46295</v>
      </c>
      <c r="X862" t="s">
        <v>40</v>
      </c>
    </row>
    <row r="863" spans="1:26" x14ac:dyDescent="0.25">
      <c r="A863">
        <f t="shared" ca="1" si="68"/>
        <v>0</v>
      </c>
      <c r="C863">
        <f t="shared" ca="1" si="69"/>
        <v>0</v>
      </c>
      <c r="D863" t="s">
        <v>221</v>
      </c>
      <c r="E863" t="s">
        <v>58</v>
      </c>
      <c r="F863">
        <v>182</v>
      </c>
      <c r="G863" t="s">
        <v>224</v>
      </c>
      <c r="H863" t="s">
        <v>1224</v>
      </c>
      <c r="I863" t="s">
        <v>187</v>
      </c>
      <c r="J863" t="s">
        <v>221</v>
      </c>
      <c r="K863" t="s">
        <v>61</v>
      </c>
      <c r="L863" t="s">
        <v>1825</v>
      </c>
      <c r="M863">
        <v>13000</v>
      </c>
      <c r="N863">
        <v>175</v>
      </c>
      <c r="O863">
        <v>5006567</v>
      </c>
      <c r="P863">
        <v>641</v>
      </c>
      <c r="Q863" t="s">
        <v>1347</v>
      </c>
      <c r="R863">
        <v>0</v>
      </c>
    </row>
    <row r="864" spans="1:26" x14ac:dyDescent="0.25">
      <c r="A864">
        <f t="shared" ca="1" si="68"/>
        <v>0</v>
      </c>
      <c r="C864">
        <f t="shared" ca="1" si="69"/>
        <v>0</v>
      </c>
      <c r="D864" t="s">
        <v>221</v>
      </c>
      <c r="E864" t="s">
        <v>58</v>
      </c>
      <c r="F864">
        <v>301</v>
      </c>
      <c r="G864" t="s">
        <v>1038</v>
      </c>
      <c r="H864" t="s">
        <v>1826</v>
      </c>
      <c r="I864" t="s">
        <v>187</v>
      </c>
      <c r="J864" t="s">
        <v>221</v>
      </c>
      <c r="K864" t="s">
        <v>61</v>
      </c>
      <c r="L864" t="s">
        <v>1827</v>
      </c>
      <c r="M864">
        <v>10000</v>
      </c>
      <c r="N864">
        <v>176</v>
      </c>
      <c r="O864">
        <v>5006534</v>
      </c>
      <c r="P864">
        <v>641</v>
      </c>
      <c r="Q864" t="s">
        <v>1347</v>
      </c>
      <c r="R864">
        <v>1126.4000000000001</v>
      </c>
      <c r="T864">
        <v>1126.4000000000001</v>
      </c>
      <c r="X864" t="s">
        <v>1302</v>
      </c>
      <c r="Y864" t="s">
        <v>104</v>
      </c>
      <c r="Z864" s="1">
        <v>46059</v>
      </c>
    </row>
    <row r="865" spans="1:26" x14ac:dyDescent="0.25">
      <c r="A865">
        <f t="shared" ca="1" si="68"/>
        <v>0</v>
      </c>
      <c r="C865">
        <f t="shared" ca="1" si="69"/>
        <v>0</v>
      </c>
      <c r="D865" t="s">
        <v>196</v>
      </c>
      <c r="E865" t="s">
        <v>58</v>
      </c>
      <c r="F865">
        <v>352</v>
      </c>
      <c r="G865" t="s">
        <v>293</v>
      </c>
      <c r="H865" t="s">
        <v>1828</v>
      </c>
      <c r="I865" t="s">
        <v>187</v>
      </c>
      <c r="J865" t="s">
        <v>196</v>
      </c>
      <c r="K865" t="s">
        <v>61</v>
      </c>
      <c r="L865" t="s">
        <v>1829</v>
      </c>
      <c r="M865">
        <v>13000</v>
      </c>
      <c r="N865">
        <v>177</v>
      </c>
      <c r="O865">
        <v>5006448</v>
      </c>
      <c r="P865">
        <v>6348</v>
      </c>
      <c r="Q865" t="s">
        <v>1830</v>
      </c>
      <c r="R865">
        <v>13180.18</v>
      </c>
      <c r="S865">
        <v>9885.14</v>
      </c>
      <c r="T865">
        <v>3295.04</v>
      </c>
      <c r="U865" t="s">
        <v>34</v>
      </c>
      <c r="V865" s="1">
        <v>46168</v>
      </c>
      <c r="W865" s="1">
        <v>46172</v>
      </c>
      <c r="X865" t="s">
        <v>296</v>
      </c>
    </row>
    <row r="866" spans="1:26" x14ac:dyDescent="0.25">
      <c r="A866">
        <f t="shared" ca="1" si="68"/>
        <v>0</v>
      </c>
      <c r="C866">
        <f t="shared" ca="1" si="69"/>
        <v>0</v>
      </c>
      <c r="D866" t="s">
        <v>183</v>
      </c>
      <c r="E866" t="s">
        <v>58</v>
      </c>
      <c r="F866">
        <v>529</v>
      </c>
      <c r="G866" t="s">
        <v>747</v>
      </c>
      <c r="H866" t="s">
        <v>1831</v>
      </c>
      <c r="I866" t="s">
        <v>187</v>
      </c>
      <c r="J866" t="s">
        <v>183</v>
      </c>
      <c r="K866" t="s">
        <v>61</v>
      </c>
      <c r="L866" t="s">
        <v>1832</v>
      </c>
      <c r="M866">
        <v>8500</v>
      </c>
      <c r="N866">
        <v>178</v>
      </c>
      <c r="O866">
        <v>5006439</v>
      </c>
      <c r="P866">
        <v>6348</v>
      </c>
      <c r="Q866" t="s">
        <v>1830</v>
      </c>
      <c r="R866">
        <v>0</v>
      </c>
    </row>
    <row r="867" spans="1:26" x14ac:dyDescent="0.25">
      <c r="A867">
        <f t="shared" ca="1" si="68"/>
        <v>0</v>
      </c>
      <c r="C867">
        <f t="shared" ca="1" si="69"/>
        <v>0</v>
      </c>
      <c r="D867" t="s">
        <v>221</v>
      </c>
      <c r="E867" t="s">
        <v>58</v>
      </c>
      <c r="F867">
        <v>579</v>
      </c>
      <c r="G867" t="s">
        <v>1038</v>
      </c>
      <c r="H867" t="s">
        <v>1833</v>
      </c>
      <c r="I867" t="s">
        <v>187</v>
      </c>
      <c r="J867" t="s">
        <v>221</v>
      </c>
      <c r="K867" t="s">
        <v>61</v>
      </c>
      <c r="L867" t="s">
        <v>1834</v>
      </c>
      <c r="M867">
        <v>7000</v>
      </c>
      <c r="N867">
        <v>179</v>
      </c>
      <c r="O867">
        <v>5006543</v>
      </c>
      <c r="P867">
        <v>641</v>
      </c>
      <c r="Q867" t="s">
        <v>1347</v>
      </c>
      <c r="R867">
        <v>490.16</v>
      </c>
      <c r="S867">
        <v>490.16</v>
      </c>
      <c r="T867">
        <v>0</v>
      </c>
      <c r="U867" t="s">
        <v>34</v>
      </c>
      <c r="V867" s="1">
        <v>46146</v>
      </c>
      <c r="W867" s="1">
        <v>46149</v>
      </c>
      <c r="X867" t="s">
        <v>1302</v>
      </c>
      <c r="Y867" t="s">
        <v>104</v>
      </c>
      <c r="Z867" s="1">
        <v>46087</v>
      </c>
    </row>
    <row r="868" spans="1:26" x14ac:dyDescent="0.25">
      <c r="A868">
        <f t="shared" ca="1" si="68"/>
        <v>0</v>
      </c>
      <c r="C868">
        <f t="shared" ca="1" si="69"/>
        <v>0</v>
      </c>
      <c r="D868" t="s">
        <v>368</v>
      </c>
      <c r="E868" t="s">
        <v>58</v>
      </c>
      <c r="F868">
        <v>632</v>
      </c>
      <c r="G868" t="s">
        <v>213</v>
      </c>
      <c r="H868" t="s">
        <v>1835</v>
      </c>
      <c r="I868" t="s">
        <v>187</v>
      </c>
      <c r="J868" t="s">
        <v>368</v>
      </c>
      <c r="K868" t="s">
        <v>61</v>
      </c>
      <c r="L868" t="s">
        <v>1836</v>
      </c>
      <c r="M868">
        <v>18000</v>
      </c>
      <c r="N868">
        <v>180</v>
      </c>
      <c r="O868">
        <v>5006467</v>
      </c>
      <c r="P868">
        <v>14203</v>
      </c>
      <c r="Q868" t="s">
        <v>1189</v>
      </c>
      <c r="R868">
        <v>4346.05</v>
      </c>
      <c r="T868">
        <v>4346.05</v>
      </c>
    </row>
    <row r="869" spans="1:26" x14ac:dyDescent="0.25">
      <c r="A869">
        <f t="shared" ca="1" si="68"/>
        <v>0</v>
      </c>
      <c r="C869">
        <f t="shared" ca="1" si="69"/>
        <v>0</v>
      </c>
      <c r="D869" t="s">
        <v>183</v>
      </c>
      <c r="E869" t="s">
        <v>58</v>
      </c>
      <c r="F869">
        <v>720</v>
      </c>
      <c r="G869" t="s">
        <v>602</v>
      </c>
      <c r="H869" t="s">
        <v>1837</v>
      </c>
      <c r="I869" t="s">
        <v>187</v>
      </c>
      <c r="J869" t="s">
        <v>183</v>
      </c>
      <c r="K869" t="s">
        <v>61</v>
      </c>
      <c r="L869" t="s">
        <v>1838</v>
      </c>
      <c r="M869">
        <v>6000</v>
      </c>
      <c r="N869">
        <v>181</v>
      </c>
      <c r="O869">
        <v>5096783</v>
      </c>
      <c r="P869">
        <v>29</v>
      </c>
      <c r="Q869" t="s">
        <v>933</v>
      </c>
      <c r="R869">
        <v>5738.43</v>
      </c>
      <c r="S869">
        <v>5738.43</v>
      </c>
      <c r="T869">
        <v>0</v>
      </c>
      <c r="U869" t="s">
        <v>34</v>
      </c>
      <c r="X869" t="s">
        <v>1839</v>
      </c>
    </row>
    <row r="870" spans="1:26" x14ac:dyDescent="0.25">
      <c r="A870">
        <f t="shared" ca="1" si="68"/>
        <v>0</v>
      </c>
      <c r="C870">
        <f t="shared" ca="1" si="69"/>
        <v>0</v>
      </c>
      <c r="D870" t="s">
        <v>196</v>
      </c>
      <c r="E870" t="s">
        <v>58</v>
      </c>
      <c r="F870">
        <v>722</v>
      </c>
      <c r="G870" t="s">
        <v>897</v>
      </c>
      <c r="H870" t="s">
        <v>1840</v>
      </c>
      <c r="I870" t="s">
        <v>187</v>
      </c>
      <c r="J870" t="s">
        <v>196</v>
      </c>
      <c r="K870" t="s">
        <v>61</v>
      </c>
      <c r="L870" t="s">
        <v>1841</v>
      </c>
      <c r="M870">
        <v>10000</v>
      </c>
      <c r="N870">
        <v>182</v>
      </c>
      <c r="O870">
        <v>5006587</v>
      </c>
      <c r="P870">
        <v>641</v>
      </c>
      <c r="Q870" t="s">
        <v>1347</v>
      </c>
      <c r="R870">
        <v>0</v>
      </c>
    </row>
    <row r="871" spans="1:26" x14ac:dyDescent="0.25">
      <c r="A871">
        <f t="shared" ca="1" si="68"/>
        <v>0</v>
      </c>
      <c r="C871">
        <f t="shared" ca="1" si="69"/>
        <v>0</v>
      </c>
      <c r="D871" t="s">
        <v>196</v>
      </c>
      <c r="E871" t="s">
        <v>58</v>
      </c>
      <c r="F871">
        <v>847</v>
      </c>
      <c r="G871" t="s">
        <v>224</v>
      </c>
      <c r="H871" t="s">
        <v>1842</v>
      </c>
      <c r="I871" t="s">
        <v>187</v>
      </c>
      <c r="J871" t="s">
        <v>196</v>
      </c>
      <c r="K871" t="s">
        <v>61</v>
      </c>
      <c r="L871" t="s">
        <v>1843</v>
      </c>
      <c r="M871">
        <v>6000</v>
      </c>
      <c r="N871">
        <v>183</v>
      </c>
      <c r="O871">
        <v>5006603</v>
      </c>
      <c r="P871">
        <v>8598</v>
      </c>
      <c r="Q871" t="s">
        <v>78</v>
      </c>
      <c r="R871">
        <v>0</v>
      </c>
      <c r="U871" t="s">
        <v>40</v>
      </c>
      <c r="V871" s="1">
        <v>46174</v>
      </c>
      <c r="W871" s="1">
        <v>46203</v>
      </c>
      <c r="Y871" t="s">
        <v>104</v>
      </c>
      <c r="Z871" s="1">
        <v>46121</v>
      </c>
    </row>
    <row r="872" spans="1:26" x14ac:dyDescent="0.25">
      <c r="A872">
        <f t="shared" ca="1" si="68"/>
        <v>0</v>
      </c>
      <c r="C872">
        <f t="shared" ca="1" si="69"/>
        <v>0</v>
      </c>
      <c r="D872" t="s">
        <v>196</v>
      </c>
      <c r="E872" t="s">
        <v>58</v>
      </c>
      <c r="F872">
        <v>847</v>
      </c>
      <c r="G872" t="s">
        <v>224</v>
      </c>
      <c r="H872" t="s">
        <v>1295</v>
      </c>
      <c r="I872" t="s">
        <v>187</v>
      </c>
      <c r="J872" t="s">
        <v>196</v>
      </c>
      <c r="K872" t="s">
        <v>61</v>
      </c>
      <c r="L872" t="s">
        <v>1844</v>
      </c>
      <c r="M872">
        <v>5000</v>
      </c>
      <c r="N872">
        <v>186</v>
      </c>
      <c r="O872">
        <v>5006615</v>
      </c>
      <c r="P872">
        <v>8598</v>
      </c>
      <c r="Q872" t="s">
        <v>78</v>
      </c>
      <c r="R872">
        <v>0</v>
      </c>
      <c r="U872" t="s">
        <v>40</v>
      </c>
      <c r="V872" s="1">
        <v>46174</v>
      </c>
      <c r="W872" s="1">
        <v>46203</v>
      </c>
      <c r="Y872" t="s">
        <v>104</v>
      </c>
      <c r="Z872" s="1">
        <v>46121</v>
      </c>
    </row>
    <row r="873" spans="1:26" x14ac:dyDescent="0.25">
      <c r="A873">
        <f t="shared" ca="1" si="68"/>
        <v>0</v>
      </c>
      <c r="C873">
        <f t="shared" ca="1" si="69"/>
        <v>0</v>
      </c>
      <c r="D873" t="s">
        <v>285</v>
      </c>
      <c r="E873" t="s">
        <v>58</v>
      </c>
      <c r="F873">
        <v>940</v>
      </c>
      <c r="G873" t="s">
        <v>1038</v>
      </c>
      <c r="H873" t="s">
        <v>1845</v>
      </c>
      <c r="I873" t="s">
        <v>187</v>
      </c>
      <c r="J873" t="s">
        <v>285</v>
      </c>
      <c r="K873" t="s">
        <v>61</v>
      </c>
      <c r="L873" t="s">
        <v>1846</v>
      </c>
      <c r="M873">
        <v>12000</v>
      </c>
      <c r="N873">
        <v>187</v>
      </c>
      <c r="O873">
        <v>5006635</v>
      </c>
      <c r="P873">
        <v>8898</v>
      </c>
      <c r="Q873" t="s">
        <v>1847</v>
      </c>
      <c r="R873">
        <v>1764.13</v>
      </c>
      <c r="S873">
        <v>1764.13</v>
      </c>
      <c r="T873">
        <v>0</v>
      </c>
      <c r="U873" t="s">
        <v>34</v>
      </c>
      <c r="V873" s="1">
        <v>46097</v>
      </c>
      <c r="W873" s="1">
        <v>46111</v>
      </c>
    </row>
    <row r="874" spans="1:26" x14ac:dyDescent="0.25">
      <c r="A874">
        <f t="shared" ca="1" si="68"/>
        <v>0</v>
      </c>
      <c r="C874">
        <f t="shared" ca="1" si="69"/>
        <v>0</v>
      </c>
      <c r="D874" t="s">
        <v>221</v>
      </c>
      <c r="E874" t="s">
        <v>58</v>
      </c>
      <c r="F874">
        <v>1283</v>
      </c>
      <c r="G874" t="s">
        <v>213</v>
      </c>
      <c r="H874" t="s">
        <v>222</v>
      </c>
      <c r="I874" t="s">
        <v>187</v>
      </c>
      <c r="J874" t="s">
        <v>221</v>
      </c>
      <c r="K874" t="s">
        <v>215</v>
      </c>
      <c r="L874" t="s">
        <v>1848</v>
      </c>
      <c r="M874">
        <v>6000</v>
      </c>
      <c r="N874">
        <v>188</v>
      </c>
      <c r="O874">
        <v>5025059</v>
      </c>
      <c r="P874">
        <v>8196</v>
      </c>
      <c r="Q874" t="s">
        <v>217</v>
      </c>
      <c r="R874">
        <v>3112.26</v>
      </c>
      <c r="S874">
        <v>3112.26</v>
      </c>
      <c r="T874">
        <v>0</v>
      </c>
      <c r="U874" t="s">
        <v>34</v>
      </c>
      <c r="V874" s="1">
        <v>46106</v>
      </c>
      <c r="W874" s="1">
        <v>46122</v>
      </c>
      <c r="X874" t="s">
        <v>1849</v>
      </c>
    </row>
    <row r="875" spans="1:26" x14ac:dyDescent="0.25">
      <c r="A875">
        <f t="shared" ca="1" si="68"/>
        <v>0</v>
      </c>
      <c r="C875">
        <f t="shared" ca="1" si="69"/>
        <v>0</v>
      </c>
      <c r="D875" t="s">
        <v>196</v>
      </c>
      <c r="E875" t="s">
        <v>58</v>
      </c>
      <c r="F875">
        <v>1454</v>
      </c>
      <c r="G875" t="s">
        <v>213</v>
      </c>
      <c r="H875" t="s">
        <v>1850</v>
      </c>
      <c r="I875" t="s">
        <v>187</v>
      </c>
      <c r="J875" t="s">
        <v>196</v>
      </c>
      <c r="K875" t="s">
        <v>215</v>
      </c>
      <c r="L875" t="s">
        <v>1851</v>
      </c>
      <c r="M875">
        <v>3000</v>
      </c>
      <c r="N875">
        <v>190</v>
      </c>
      <c r="O875">
        <v>5031819</v>
      </c>
      <c r="P875">
        <v>1868</v>
      </c>
      <c r="Q875" t="s">
        <v>706</v>
      </c>
      <c r="R875">
        <v>1584</v>
      </c>
      <c r="S875">
        <v>1584</v>
      </c>
      <c r="T875">
        <v>0</v>
      </c>
      <c r="U875" t="s">
        <v>34</v>
      </c>
      <c r="V875" s="1">
        <v>46084</v>
      </c>
      <c r="W875" s="1">
        <v>46085</v>
      </c>
      <c r="X875" t="s">
        <v>1852</v>
      </c>
    </row>
    <row r="876" spans="1:26" x14ac:dyDescent="0.25">
      <c r="A876">
        <f t="shared" ca="1" si="68"/>
        <v>0</v>
      </c>
      <c r="C876">
        <f t="shared" ca="1" si="69"/>
        <v>0</v>
      </c>
      <c r="D876" t="s">
        <v>221</v>
      </c>
      <c r="E876" t="s">
        <v>58</v>
      </c>
      <c r="F876">
        <v>1981</v>
      </c>
      <c r="G876" t="s">
        <v>59</v>
      </c>
      <c r="H876" t="s">
        <v>1853</v>
      </c>
      <c r="I876" t="s">
        <v>187</v>
      </c>
      <c r="J876" t="s">
        <v>221</v>
      </c>
      <c r="K876" t="s">
        <v>215</v>
      </c>
      <c r="L876" t="s">
        <v>1854</v>
      </c>
      <c r="M876">
        <v>5500</v>
      </c>
      <c r="N876">
        <v>191</v>
      </c>
      <c r="O876">
        <v>5090031</v>
      </c>
      <c r="P876">
        <v>1701</v>
      </c>
      <c r="Q876" t="s">
        <v>459</v>
      </c>
      <c r="R876">
        <v>2574</v>
      </c>
      <c r="T876">
        <v>2574</v>
      </c>
      <c r="X876" t="s">
        <v>1855</v>
      </c>
    </row>
    <row r="877" spans="1:26" x14ac:dyDescent="0.25">
      <c r="A877" t="s">
        <v>40</v>
      </c>
    </row>
    <row r="878" spans="1:26" x14ac:dyDescent="0.25">
      <c r="A878">
        <f ca="1">+ Cmde</f>
        <v>0</v>
      </c>
      <c r="C878">
        <f ca="1">+ Devis</f>
        <v>0</v>
      </c>
      <c r="D878" t="s">
        <v>368</v>
      </c>
      <c r="E878" t="s">
        <v>58</v>
      </c>
      <c r="F878">
        <v>1984</v>
      </c>
      <c r="G878" t="s">
        <v>59</v>
      </c>
      <c r="H878" t="s">
        <v>1856</v>
      </c>
      <c r="I878" t="s">
        <v>187</v>
      </c>
      <c r="J878" t="s">
        <v>368</v>
      </c>
      <c r="K878" t="s">
        <v>61</v>
      </c>
      <c r="L878" t="s">
        <v>1857</v>
      </c>
      <c r="M878">
        <v>3000</v>
      </c>
      <c r="N878">
        <v>192</v>
      </c>
      <c r="U878" t="s">
        <v>34</v>
      </c>
    </row>
    <row r="879" spans="1:26" x14ac:dyDescent="0.25">
      <c r="A879">
        <f ca="1">+ Cmde</f>
        <v>0</v>
      </c>
      <c r="C879">
        <f ca="1">+ Devis</f>
        <v>0</v>
      </c>
      <c r="D879" t="s">
        <v>41</v>
      </c>
      <c r="E879" t="s">
        <v>58</v>
      </c>
      <c r="F879">
        <v>878</v>
      </c>
      <c r="G879" t="s">
        <v>602</v>
      </c>
      <c r="H879" t="s">
        <v>1858</v>
      </c>
      <c r="I879" t="s">
        <v>44</v>
      </c>
      <c r="J879" t="s">
        <v>41</v>
      </c>
      <c r="K879" t="s">
        <v>61</v>
      </c>
      <c r="L879" t="s">
        <v>1859</v>
      </c>
      <c r="M879">
        <v>36000</v>
      </c>
      <c r="N879">
        <v>195</v>
      </c>
      <c r="O879">
        <v>5028645</v>
      </c>
      <c r="P879">
        <v>4921</v>
      </c>
      <c r="Q879" t="s">
        <v>94</v>
      </c>
      <c r="R879">
        <v>19796.740000000002</v>
      </c>
      <c r="S879">
        <v>19796.740000000002</v>
      </c>
      <c r="T879">
        <v>0</v>
      </c>
      <c r="U879" t="s">
        <v>34</v>
      </c>
      <c r="X879" t="s">
        <v>296</v>
      </c>
    </row>
    <row r="880" spans="1:26" x14ac:dyDescent="0.25">
      <c r="A880">
        <f ca="1">+ Cmde</f>
        <v>0</v>
      </c>
      <c r="C880">
        <f ca="1">+ Devis</f>
        <v>0</v>
      </c>
      <c r="D880" t="s">
        <v>41</v>
      </c>
      <c r="E880" t="s">
        <v>58</v>
      </c>
      <c r="F880">
        <v>876</v>
      </c>
      <c r="G880" t="s">
        <v>602</v>
      </c>
      <c r="H880" t="s">
        <v>1860</v>
      </c>
      <c r="I880" t="s">
        <v>44</v>
      </c>
      <c r="J880" t="s">
        <v>41</v>
      </c>
      <c r="K880" t="s">
        <v>61</v>
      </c>
      <c r="L880" t="s">
        <v>1859</v>
      </c>
      <c r="M880">
        <v>35000</v>
      </c>
      <c r="N880">
        <v>196</v>
      </c>
      <c r="O880">
        <v>5028650</v>
      </c>
      <c r="P880">
        <v>4921</v>
      </c>
      <c r="Q880" t="s">
        <v>94</v>
      </c>
      <c r="R880">
        <v>19796.740000000002</v>
      </c>
      <c r="S880">
        <v>19796.740000000002</v>
      </c>
      <c r="T880">
        <v>0</v>
      </c>
      <c r="U880" t="s">
        <v>34</v>
      </c>
      <c r="V880" s="1">
        <v>46218</v>
      </c>
      <c r="W880" s="1">
        <v>46234</v>
      </c>
      <c r="X880" t="s">
        <v>296</v>
      </c>
    </row>
    <row r="881" spans="1:24" x14ac:dyDescent="0.25">
      <c r="A881">
        <f ca="1">+ Cmde</f>
        <v>0</v>
      </c>
      <c r="C881">
        <f ca="1">+ Devis</f>
        <v>0</v>
      </c>
      <c r="D881" t="s">
        <v>203</v>
      </c>
      <c r="E881" t="s">
        <v>58</v>
      </c>
      <c r="F881">
        <v>584</v>
      </c>
      <c r="G881" t="s">
        <v>897</v>
      </c>
      <c r="H881" t="s">
        <v>1697</v>
      </c>
      <c r="I881" t="s">
        <v>44</v>
      </c>
      <c r="J881" t="s">
        <v>203</v>
      </c>
      <c r="K881" t="s">
        <v>61</v>
      </c>
      <c r="L881" t="s">
        <v>1861</v>
      </c>
      <c r="M881">
        <v>32000</v>
      </c>
      <c r="N881">
        <v>197</v>
      </c>
      <c r="O881">
        <v>5016082</v>
      </c>
      <c r="P881">
        <v>503</v>
      </c>
      <c r="Q881" t="s">
        <v>1246</v>
      </c>
      <c r="R881">
        <v>7879.74</v>
      </c>
      <c r="S881">
        <v>7879.74</v>
      </c>
      <c r="T881">
        <v>0</v>
      </c>
      <c r="U881" t="s">
        <v>34</v>
      </c>
      <c r="V881" s="1">
        <v>46092</v>
      </c>
      <c r="W881" s="1">
        <v>46128</v>
      </c>
      <c r="X881" t="s">
        <v>1862</v>
      </c>
    </row>
    <row r="882" spans="1:24" x14ac:dyDescent="0.25">
      <c r="A882">
        <f ca="1">+ Cmde</f>
        <v>0</v>
      </c>
      <c r="C882">
        <f ca="1">+ Devis</f>
        <v>0</v>
      </c>
      <c r="D882" t="s">
        <v>203</v>
      </c>
      <c r="E882" t="s">
        <v>58</v>
      </c>
      <c r="F882">
        <v>372</v>
      </c>
      <c r="G882" t="s">
        <v>224</v>
      </c>
      <c r="H882" t="s">
        <v>1863</v>
      </c>
      <c r="I882" t="s">
        <v>44</v>
      </c>
      <c r="J882" t="s">
        <v>203</v>
      </c>
      <c r="K882" t="s">
        <v>61</v>
      </c>
      <c r="L882" t="s">
        <v>1864</v>
      </c>
      <c r="M882">
        <v>28000</v>
      </c>
      <c r="N882">
        <v>198</v>
      </c>
      <c r="X882" t="s">
        <v>1865</v>
      </c>
    </row>
    <row r="883" spans="1:24" x14ac:dyDescent="0.25">
      <c r="A883" t="s">
        <v>1866</v>
      </c>
    </row>
    <row r="884" spans="1:24" x14ac:dyDescent="0.25">
      <c r="A884">
        <f t="shared" ref="A884:A926" ca="1" si="70">+ Cmde</f>
        <v>0</v>
      </c>
      <c r="C884">
        <f t="shared" ref="C884:C926" ca="1" si="71">+ Devis</f>
        <v>0</v>
      </c>
      <c r="D884" t="s">
        <v>203</v>
      </c>
      <c r="E884" t="s">
        <v>58</v>
      </c>
      <c r="F884">
        <v>76</v>
      </c>
      <c r="G884" t="s">
        <v>464</v>
      </c>
      <c r="H884" t="s">
        <v>1867</v>
      </c>
      <c r="I884" t="s">
        <v>44</v>
      </c>
      <c r="J884" t="s">
        <v>203</v>
      </c>
      <c r="K884" t="s">
        <v>61</v>
      </c>
      <c r="L884" t="s">
        <v>1868</v>
      </c>
      <c r="M884">
        <v>26000</v>
      </c>
      <c r="N884">
        <v>199</v>
      </c>
      <c r="O884">
        <v>5015655</v>
      </c>
      <c r="P884">
        <v>503</v>
      </c>
      <c r="Q884" t="s">
        <v>1246</v>
      </c>
      <c r="R884">
        <v>21153.03</v>
      </c>
      <c r="S884">
        <v>21153.03</v>
      </c>
      <c r="T884">
        <v>0</v>
      </c>
      <c r="U884" t="s">
        <v>34</v>
      </c>
      <c r="V884" s="1">
        <v>46062</v>
      </c>
      <c r="W884" s="1">
        <v>46109</v>
      </c>
      <c r="X884" t="s">
        <v>1869</v>
      </c>
    </row>
    <row r="885" spans="1:24" x14ac:dyDescent="0.25">
      <c r="A885">
        <f t="shared" ca="1" si="70"/>
        <v>0</v>
      </c>
      <c r="C885">
        <f t="shared" ca="1" si="71"/>
        <v>0</v>
      </c>
      <c r="D885" t="s">
        <v>41</v>
      </c>
      <c r="E885" t="s">
        <v>58</v>
      </c>
      <c r="F885">
        <v>273</v>
      </c>
      <c r="G885" t="s">
        <v>293</v>
      </c>
      <c r="H885" t="s">
        <v>1870</v>
      </c>
      <c r="I885" t="s">
        <v>44</v>
      </c>
      <c r="J885" t="s">
        <v>41</v>
      </c>
      <c r="K885" t="s">
        <v>61</v>
      </c>
      <c r="L885" t="s">
        <v>1871</v>
      </c>
      <c r="M885">
        <v>25500</v>
      </c>
      <c r="N885">
        <v>200</v>
      </c>
      <c r="O885">
        <v>5018903</v>
      </c>
      <c r="P885">
        <v>4146</v>
      </c>
      <c r="Q885" t="s">
        <v>91</v>
      </c>
      <c r="R885">
        <v>21879</v>
      </c>
      <c r="S885">
        <v>21879</v>
      </c>
      <c r="T885">
        <v>0</v>
      </c>
      <c r="U885" t="s">
        <v>34</v>
      </c>
      <c r="V885" s="1">
        <v>46125</v>
      </c>
      <c r="W885" s="1">
        <v>46142</v>
      </c>
      <c r="X885" t="s">
        <v>296</v>
      </c>
    </row>
    <row r="886" spans="1:24" x14ac:dyDescent="0.25">
      <c r="A886">
        <f t="shared" ca="1" si="70"/>
        <v>0</v>
      </c>
      <c r="C886">
        <f t="shared" ca="1" si="71"/>
        <v>0</v>
      </c>
      <c r="D886" t="s">
        <v>41</v>
      </c>
      <c r="E886" t="s">
        <v>58</v>
      </c>
      <c r="F886">
        <v>1103</v>
      </c>
      <c r="G886" t="s">
        <v>602</v>
      </c>
      <c r="H886" t="s">
        <v>1872</v>
      </c>
      <c r="I886" t="s">
        <v>44</v>
      </c>
      <c r="J886" t="s">
        <v>41</v>
      </c>
      <c r="K886" t="s">
        <v>61</v>
      </c>
      <c r="L886" t="s">
        <v>1873</v>
      </c>
      <c r="M886">
        <v>17000</v>
      </c>
      <c r="N886">
        <v>201</v>
      </c>
      <c r="O886">
        <v>5028704</v>
      </c>
      <c r="P886">
        <v>4921</v>
      </c>
      <c r="Q886" t="s">
        <v>94</v>
      </c>
      <c r="R886">
        <v>21619.85</v>
      </c>
      <c r="S886">
        <v>21619.85</v>
      </c>
      <c r="T886">
        <v>0</v>
      </c>
      <c r="U886" t="s">
        <v>34</v>
      </c>
      <c r="X886" t="s">
        <v>296</v>
      </c>
    </row>
    <row r="887" spans="1:24" x14ac:dyDescent="0.25">
      <c r="A887">
        <f t="shared" ca="1" si="70"/>
        <v>0</v>
      </c>
      <c r="C887">
        <f t="shared" ca="1" si="71"/>
        <v>0</v>
      </c>
      <c r="D887" t="s">
        <v>41</v>
      </c>
      <c r="E887" t="s">
        <v>58</v>
      </c>
      <c r="F887">
        <v>1312</v>
      </c>
      <c r="G887" t="s">
        <v>213</v>
      </c>
      <c r="H887" t="s">
        <v>1874</v>
      </c>
      <c r="I887" t="s">
        <v>44</v>
      </c>
      <c r="J887" t="s">
        <v>41</v>
      </c>
      <c r="K887" t="s">
        <v>215</v>
      </c>
      <c r="L887" t="s">
        <v>1875</v>
      </c>
      <c r="M887">
        <v>12000</v>
      </c>
      <c r="N887">
        <v>205</v>
      </c>
      <c r="O887">
        <v>5015023</v>
      </c>
      <c r="P887">
        <v>4921</v>
      </c>
      <c r="Q887" t="s">
        <v>94</v>
      </c>
    </row>
    <row r="888" spans="1:24" x14ac:dyDescent="0.25">
      <c r="A888">
        <f t="shared" ca="1" si="70"/>
        <v>0</v>
      </c>
      <c r="C888">
        <f t="shared" ca="1" si="71"/>
        <v>0</v>
      </c>
      <c r="D888" t="s">
        <v>41</v>
      </c>
      <c r="E888" t="s">
        <v>58</v>
      </c>
      <c r="F888">
        <v>113</v>
      </c>
      <c r="G888" t="s">
        <v>464</v>
      </c>
      <c r="H888" t="s">
        <v>1876</v>
      </c>
      <c r="I888" t="s">
        <v>44</v>
      </c>
      <c r="J888" t="s">
        <v>41</v>
      </c>
      <c r="K888" t="s">
        <v>215</v>
      </c>
      <c r="L888" t="s">
        <v>1877</v>
      </c>
      <c r="M888">
        <v>11000</v>
      </c>
      <c r="N888">
        <v>206</v>
      </c>
      <c r="O888">
        <v>5038822</v>
      </c>
      <c r="P888">
        <v>14203</v>
      </c>
      <c r="Q888" t="s">
        <v>1189</v>
      </c>
      <c r="R888">
        <v>1658</v>
      </c>
      <c r="S888">
        <v>1658</v>
      </c>
      <c r="T888">
        <v>0</v>
      </c>
      <c r="U888" t="s">
        <v>34</v>
      </c>
      <c r="X888" t="s">
        <v>1878</v>
      </c>
    </row>
    <row r="889" spans="1:24" x14ac:dyDescent="0.25">
      <c r="A889">
        <f t="shared" ca="1" si="70"/>
        <v>0</v>
      </c>
      <c r="C889">
        <f t="shared" ca="1" si="71"/>
        <v>0</v>
      </c>
      <c r="D889" t="s">
        <v>41</v>
      </c>
      <c r="E889" t="s">
        <v>58</v>
      </c>
      <c r="F889">
        <v>49</v>
      </c>
      <c r="G889" t="s">
        <v>897</v>
      </c>
      <c r="H889" t="s">
        <v>1879</v>
      </c>
      <c r="I889" t="s">
        <v>44</v>
      </c>
      <c r="J889" t="s">
        <v>41</v>
      </c>
      <c r="K889" t="s">
        <v>61</v>
      </c>
      <c r="L889" t="s">
        <v>1880</v>
      </c>
      <c r="M889">
        <v>10000</v>
      </c>
      <c r="N889">
        <v>207</v>
      </c>
      <c r="O889">
        <v>5016067</v>
      </c>
      <c r="P889">
        <v>28766</v>
      </c>
      <c r="Q889" t="s">
        <v>1881</v>
      </c>
      <c r="R889">
        <v>16124.4</v>
      </c>
      <c r="S889">
        <v>16124.4</v>
      </c>
      <c r="T889">
        <v>0</v>
      </c>
      <c r="U889" t="s">
        <v>34</v>
      </c>
      <c r="V889" s="1">
        <v>46063</v>
      </c>
      <c r="W889" s="1">
        <v>46387</v>
      </c>
      <c r="X889" t="s">
        <v>296</v>
      </c>
    </row>
    <row r="890" spans="1:24" x14ac:dyDescent="0.25">
      <c r="A890">
        <f t="shared" ca="1" si="70"/>
        <v>0</v>
      </c>
      <c r="C890">
        <f t="shared" ca="1" si="71"/>
        <v>0</v>
      </c>
      <c r="D890" t="s">
        <v>57</v>
      </c>
      <c r="E890" t="s">
        <v>58</v>
      </c>
      <c r="F890">
        <v>520</v>
      </c>
      <c r="G890" t="s">
        <v>224</v>
      </c>
      <c r="H890" t="s">
        <v>1882</v>
      </c>
      <c r="I890" t="s">
        <v>44</v>
      </c>
      <c r="J890" t="s">
        <v>57</v>
      </c>
      <c r="K890" t="s">
        <v>61</v>
      </c>
      <c r="L890" t="s">
        <v>1883</v>
      </c>
      <c r="M890">
        <v>10000</v>
      </c>
      <c r="N890">
        <v>208</v>
      </c>
      <c r="O890">
        <v>5028521</v>
      </c>
      <c r="P890">
        <v>503</v>
      </c>
      <c r="Q890" t="s">
        <v>1246</v>
      </c>
      <c r="R890">
        <v>4912</v>
      </c>
      <c r="T890">
        <v>4912</v>
      </c>
      <c r="X890" t="s">
        <v>296</v>
      </c>
    </row>
    <row r="891" spans="1:24" x14ac:dyDescent="0.25">
      <c r="A891">
        <f t="shared" ca="1" si="70"/>
        <v>0</v>
      </c>
      <c r="C891">
        <f t="shared" ca="1" si="71"/>
        <v>0</v>
      </c>
      <c r="D891" t="s">
        <v>57</v>
      </c>
      <c r="E891" t="s">
        <v>58</v>
      </c>
      <c r="F891">
        <v>632</v>
      </c>
      <c r="G891" t="s">
        <v>213</v>
      </c>
      <c r="H891" t="s">
        <v>1884</v>
      </c>
      <c r="I891" t="s">
        <v>44</v>
      </c>
      <c r="J891" t="s">
        <v>57</v>
      </c>
      <c r="K891" t="s">
        <v>61</v>
      </c>
      <c r="L891" t="s">
        <v>1885</v>
      </c>
      <c r="M891">
        <v>10000</v>
      </c>
      <c r="N891">
        <v>209</v>
      </c>
      <c r="O891">
        <v>5053950</v>
      </c>
      <c r="P891">
        <v>7886</v>
      </c>
      <c r="Q891" t="s">
        <v>1886</v>
      </c>
      <c r="R891">
        <v>2640</v>
      </c>
      <c r="S891">
        <v>2640</v>
      </c>
      <c r="T891">
        <v>0</v>
      </c>
      <c r="U891" t="s">
        <v>34</v>
      </c>
      <c r="X891" t="s">
        <v>1887</v>
      </c>
    </row>
    <row r="892" spans="1:24" x14ac:dyDescent="0.25">
      <c r="A892">
        <f t="shared" ca="1" si="70"/>
        <v>0</v>
      </c>
      <c r="C892">
        <f t="shared" ca="1" si="71"/>
        <v>0</v>
      </c>
      <c r="D892" t="s">
        <v>57</v>
      </c>
      <c r="E892" t="s">
        <v>58</v>
      </c>
      <c r="F892">
        <v>472</v>
      </c>
      <c r="G892" t="s">
        <v>59</v>
      </c>
      <c r="H892" t="s">
        <v>60</v>
      </c>
      <c r="I892" t="s">
        <v>44</v>
      </c>
      <c r="J892" t="s">
        <v>57</v>
      </c>
      <c r="K892" t="s">
        <v>61</v>
      </c>
      <c r="L892" t="s">
        <v>1888</v>
      </c>
      <c r="M892">
        <v>7000</v>
      </c>
      <c r="N892">
        <v>211</v>
      </c>
      <c r="X892" t="s">
        <v>212</v>
      </c>
    </row>
    <row r="893" spans="1:24" x14ac:dyDescent="0.25">
      <c r="A893">
        <f t="shared" ca="1" si="70"/>
        <v>0</v>
      </c>
      <c r="C893">
        <f t="shared" ca="1" si="71"/>
        <v>0</v>
      </c>
      <c r="D893" t="s">
        <v>57</v>
      </c>
      <c r="E893" t="s">
        <v>58</v>
      </c>
      <c r="F893">
        <v>561</v>
      </c>
      <c r="G893" t="s">
        <v>59</v>
      </c>
      <c r="H893" t="s">
        <v>60</v>
      </c>
      <c r="I893" t="s">
        <v>44</v>
      </c>
      <c r="J893" t="s">
        <v>57</v>
      </c>
      <c r="K893" t="s">
        <v>61</v>
      </c>
      <c r="L893" t="s">
        <v>1888</v>
      </c>
      <c r="M893">
        <v>7000</v>
      </c>
      <c r="N893">
        <v>212</v>
      </c>
      <c r="X893" t="s">
        <v>212</v>
      </c>
    </row>
    <row r="894" spans="1:24" x14ac:dyDescent="0.25">
      <c r="A894">
        <f t="shared" ca="1" si="70"/>
        <v>0</v>
      </c>
      <c r="C894">
        <f t="shared" ca="1" si="71"/>
        <v>0</v>
      </c>
      <c r="D894" t="s">
        <v>41</v>
      </c>
      <c r="E894" t="s">
        <v>58</v>
      </c>
      <c r="F894">
        <v>1105</v>
      </c>
      <c r="G894" t="s">
        <v>602</v>
      </c>
      <c r="H894" t="s">
        <v>1889</v>
      </c>
      <c r="I894" t="s">
        <v>44</v>
      </c>
      <c r="J894" t="s">
        <v>41</v>
      </c>
      <c r="K894" t="s">
        <v>61</v>
      </c>
      <c r="L894" t="s">
        <v>604</v>
      </c>
      <c r="M894">
        <v>6000</v>
      </c>
      <c r="N894">
        <v>213</v>
      </c>
      <c r="O894">
        <v>5013282</v>
      </c>
      <c r="P894">
        <v>4921</v>
      </c>
      <c r="Q894" t="s">
        <v>94</v>
      </c>
      <c r="R894">
        <v>8018.3</v>
      </c>
      <c r="S894">
        <v>8018.3</v>
      </c>
      <c r="T894">
        <v>0</v>
      </c>
      <c r="U894" t="s">
        <v>34</v>
      </c>
      <c r="X894" t="s">
        <v>1890</v>
      </c>
    </row>
    <row r="895" spans="1:24" x14ac:dyDescent="0.25">
      <c r="A895">
        <f t="shared" ca="1" si="70"/>
        <v>0</v>
      </c>
      <c r="C895">
        <f t="shared" ca="1" si="71"/>
        <v>0</v>
      </c>
      <c r="D895" t="s">
        <v>41</v>
      </c>
      <c r="E895" t="s">
        <v>58</v>
      </c>
      <c r="F895">
        <v>1105</v>
      </c>
      <c r="G895" t="s">
        <v>602</v>
      </c>
      <c r="H895" t="s">
        <v>1891</v>
      </c>
      <c r="I895" t="s">
        <v>44</v>
      </c>
      <c r="J895" t="s">
        <v>41</v>
      </c>
      <c r="K895" t="s">
        <v>61</v>
      </c>
      <c r="L895" t="s">
        <v>604</v>
      </c>
      <c r="M895">
        <v>6000</v>
      </c>
      <c r="N895">
        <v>214</v>
      </c>
      <c r="O895">
        <v>5013278</v>
      </c>
      <c r="P895">
        <v>4921</v>
      </c>
      <c r="Q895" t="s">
        <v>94</v>
      </c>
      <c r="R895">
        <v>8018.3</v>
      </c>
      <c r="S895">
        <v>8018.3</v>
      </c>
      <c r="T895">
        <v>0</v>
      </c>
      <c r="U895" t="s">
        <v>34</v>
      </c>
      <c r="X895" t="s">
        <v>1890</v>
      </c>
    </row>
    <row r="896" spans="1:24" x14ac:dyDescent="0.25">
      <c r="A896">
        <f t="shared" ca="1" si="70"/>
        <v>0</v>
      </c>
      <c r="C896">
        <f t="shared" ca="1" si="71"/>
        <v>0</v>
      </c>
      <c r="D896" t="s">
        <v>41</v>
      </c>
      <c r="E896" t="s">
        <v>58</v>
      </c>
      <c r="F896">
        <v>48</v>
      </c>
      <c r="G896" t="s">
        <v>747</v>
      </c>
      <c r="H896" t="s">
        <v>1892</v>
      </c>
      <c r="I896" t="s">
        <v>44</v>
      </c>
      <c r="J896" t="s">
        <v>41</v>
      </c>
      <c r="K896" t="s">
        <v>61</v>
      </c>
      <c r="L896" t="s">
        <v>1893</v>
      </c>
      <c r="M896">
        <v>5000</v>
      </c>
      <c r="N896">
        <v>215</v>
      </c>
      <c r="O896">
        <v>5010899</v>
      </c>
      <c r="P896">
        <v>7569</v>
      </c>
      <c r="Q896" t="s">
        <v>1894</v>
      </c>
      <c r="R896">
        <v>5386.48</v>
      </c>
      <c r="S896">
        <v>5386.48</v>
      </c>
      <c r="T896">
        <v>0</v>
      </c>
      <c r="U896" t="s">
        <v>34</v>
      </c>
    </row>
    <row r="897" spans="1:26" x14ac:dyDescent="0.25">
      <c r="A897">
        <f t="shared" ca="1" si="70"/>
        <v>0</v>
      </c>
      <c r="C897">
        <f t="shared" ca="1" si="71"/>
        <v>0</v>
      </c>
      <c r="D897" t="s">
        <v>26</v>
      </c>
      <c r="E897" t="s">
        <v>297</v>
      </c>
      <c r="F897">
        <v>1453</v>
      </c>
      <c r="G897" t="s">
        <v>298</v>
      </c>
      <c r="H897" t="s">
        <v>369</v>
      </c>
      <c r="I897" t="s">
        <v>30</v>
      </c>
      <c r="J897" t="s">
        <v>26</v>
      </c>
      <c r="K897" t="s">
        <v>300</v>
      </c>
      <c r="L897" t="s">
        <v>501</v>
      </c>
      <c r="M897">
        <v>4000</v>
      </c>
      <c r="N897">
        <v>510</v>
      </c>
      <c r="X897" t="s">
        <v>1895</v>
      </c>
    </row>
    <row r="898" spans="1:26" x14ac:dyDescent="0.25">
      <c r="A898">
        <f t="shared" ca="1" si="70"/>
        <v>0</v>
      </c>
      <c r="C898">
        <f t="shared" ca="1" si="71"/>
        <v>0</v>
      </c>
      <c r="D898" t="s">
        <v>355</v>
      </c>
      <c r="E898" t="s">
        <v>297</v>
      </c>
      <c r="F898">
        <v>1352</v>
      </c>
      <c r="G898" t="s">
        <v>359</v>
      </c>
      <c r="H898" t="s">
        <v>400</v>
      </c>
      <c r="I898" t="s">
        <v>30</v>
      </c>
      <c r="J898" t="s">
        <v>355</v>
      </c>
      <c r="K898" t="s">
        <v>300</v>
      </c>
      <c r="L898" t="s">
        <v>1896</v>
      </c>
      <c r="M898">
        <v>5000</v>
      </c>
      <c r="N898">
        <v>501</v>
      </c>
      <c r="O898">
        <v>5084333</v>
      </c>
      <c r="P898">
        <v>7185</v>
      </c>
      <c r="Q898" t="s">
        <v>364</v>
      </c>
      <c r="R898">
        <v>6982.25</v>
      </c>
      <c r="S898">
        <v>6982.25</v>
      </c>
      <c r="T898">
        <v>0</v>
      </c>
      <c r="U898" t="s">
        <v>34</v>
      </c>
      <c r="V898" s="1">
        <v>46195</v>
      </c>
      <c r="W898" s="1">
        <v>46199</v>
      </c>
    </row>
    <row r="899" spans="1:26" x14ac:dyDescent="0.25">
      <c r="A899">
        <f t="shared" ca="1" si="70"/>
        <v>0</v>
      </c>
      <c r="C899">
        <f t="shared" ca="1" si="71"/>
        <v>0</v>
      </c>
      <c r="D899" t="s">
        <v>285</v>
      </c>
      <c r="E899" t="s">
        <v>297</v>
      </c>
      <c r="F899">
        <v>2001</v>
      </c>
      <c r="G899" t="s">
        <v>372</v>
      </c>
      <c r="H899" t="s">
        <v>377</v>
      </c>
      <c r="I899" t="s">
        <v>187</v>
      </c>
      <c r="J899" t="s">
        <v>285</v>
      </c>
      <c r="K899" t="s">
        <v>300</v>
      </c>
      <c r="L899" t="s">
        <v>1897</v>
      </c>
      <c r="M899">
        <v>10000</v>
      </c>
      <c r="N899">
        <v>474</v>
      </c>
      <c r="X899" t="s">
        <v>1898</v>
      </c>
    </row>
    <row r="900" spans="1:26" x14ac:dyDescent="0.25">
      <c r="A900">
        <f t="shared" ca="1" si="70"/>
        <v>0</v>
      </c>
      <c r="C900">
        <f t="shared" ca="1" si="71"/>
        <v>0</v>
      </c>
      <c r="D900" t="s">
        <v>355</v>
      </c>
      <c r="E900" t="s">
        <v>297</v>
      </c>
      <c r="F900">
        <v>2001</v>
      </c>
      <c r="G900" t="s">
        <v>372</v>
      </c>
      <c r="H900" t="s">
        <v>1899</v>
      </c>
      <c r="I900" t="s">
        <v>30</v>
      </c>
      <c r="J900" t="s">
        <v>355</v>
      </c>
      <c r="K900" t="s">
        <v>300</v>
      </c>
      <c r="L900" t="s">
        <v>1900</v>
      </c>
      <c r="M900">
        <v>8000</v>
      </c>
      <c r="N900">
        <v>519</v>
      </c>
      <c r="X900" t="s">
        <v>1901</v>
      </c>
    </row>
    <row r="901" spans="1:26" x14ac:dyDescent="0.25">
      <c r="A901">
        <f t="shared" ca="1" si="70"/>
        <v>0</v>
      </c>
      <c r="C901">
        <f t="shared" ca="1" si="71"/>
        <v>0</v>
      </c>
      <c r="D901" t="s">
        <v>74</v>
      </c>
      <c r="E901" t="s">
        <v>58</v>
      </c>
      <c r="F901">
        <v>2058</v>
      </c>
      <c r="G901" t="s">
        <v>213</v>
      </c>
      <c r="H901" t="s">
        <v>1902</v>
      </c>
      <c r="I901" t="s">
        <v>30</v>
      </c>
      <c r="J901" t="s">
        <v>74</v>
      </c>
      <c r="K901" t="s">
        <v>215</v>
      </c>
      <c r="L901" t="s">
        <v>1903</v>
      </c>
      <c r="M901">
        <v>7900</v>
      </c>
      <c r="N901">
        <v>274</v>
      </c>
      <c r="O901">
        <v>5025016</v>
      </c>
      <c r="P901">
        <v>4921</v>
      </c>
      <c r="Q901" t="s">
        <v>94</v>
      </c>
      <c r="R901">
        <v>5950.51</v>
      </c>
      <c r="S901">
        <v>5950.51</v>
      </c>
      <c r="T901">
        <v>0</v>
      </c>
      <c r="U901" t="s">
        <v>34</v>
      </c>
      <c r="V901" s="1">
        <v>46083</v>
      </c>
      <c r="W901" s="1">
        <v>46115</v>
      </c>
      <c r="X901" t="s">
        <v>1904</v>
      </c>
    </row>
    <row r="902" spans="1:26" x14ac:dyDescent="0.25">
      <c r="A902">
        <f t="shared" ca="1" si="70"/>
        <v>0</v>
      </c>
      <c r="C902">
        <f t="shared" ca="1" si="71"/>
        <v>0</v>
      </c>
      <c r="D902" t="s">
        <v>74</v>
      </c>
      <c r="E902" t="s">
        <v>49</v>
      </c>
      <c r="F902">
        <v>1551</v>
      </c>
      <c r="G902" t="s">
        <v>263</v>
      </c>
      <c r="H902" t="s">
        <v>952</v>
      </c>
      <c r="I902" t="s">
        <v>30</v>
      </c>
      <c r="J902" t="s">
        <v>74</v>
      </c>
      <c r="K902" t="s">
        <v>52</v>
      </c>
      <c r="L902" t="s">
        <v>1905</v>
      </c>
      <c r="M902">
        <v>65000</v>
      </c>
      <c r="N902">
        <v>694</v>
      </c>
      <c r="O902">
        <v>5013628</v>
      </c>
      <c r="P902">
        <v>533</v>
      </c>
      <c r="Q902" t="s">
        <v>954</v>
      </c>
    </row>
    <row r="903" spans="1:26" x14ac:dyDescent="0.25">
      <c r="A903">
        <f t="shared" ca="1" si="70"/>
        <v>0</v>
      </c>
      <c r="C903">
        <f t="shared" ca="1" si="71"/>
        <v>0</v>
      </c>
      <c r="D903" t="s">
        <v>35</v>
      </c>
      <c r="E903" t="s">
        <v>58</v>
      </c>
      <c r="F903">
        <v>133</v>
      </c>
      <c r="G903" t="s">
        <v>426</v>
      </c>
      <c r="H903" t="s">
        <v>436</v>
      </c>
      <c r="I903" t="s">
        <v>30</v>
      </c>
      <c r="J903" t="s">
        <v>35</v>
      </c>
      <c r="K903" t="s">
        <v>215</v>
      </c>
      <c r="L903" t="s">
        <v>1906</v>
      </c>
      <c r="M903">
        <v>15000</v>
      </c>
      <c r="N903">
        <v>239</v>
      </c>
      <c r="O903">
        <v>5025046</v>
      </c>
      <c r="P903">
        <v>3718</v>
      </c>
      <c r="Q903" t="s">
        <v>113</v>
      </c>
      <c r="R903">
        <v>14800.4</v>
      </c>
      <c r="S903">
        <v>14800.4</v>
      </c>
      <c r="T903">
        <v>0</v>
      </c>
      <c r="U903" t="s">
        <v>34</v>
      </c>
      <c r="V903" s="1">
        <v>46104</v>
      </c>
      <c r="W903" s="1">
        <v>46122</v>
      </c>
      <c r="Y903" t="s">
        <v>47</v>
      </c>
      <c r="Z903" s="1">
        <v>46091</v>
      </c>
    </row>
    <row r="904" spans="1:26" x14ac:dyDescent="0.25">
      <c r="A904">
        <f t="shared" ca="1" si="70"/>
        <v>0</v>
      </c>
      <c r="C904">
        <f t="shared" ca="1" si="71"/>
        <v>0</v>
      </c>
      <c r="D904" t="s">
        <v>183</v>
      </c>
      <c r="E904" t="s">
        <v>49</v>
      </c>
      <c r="F904">
        <v>888</v>
      </c>
      <c r="G904" t="s">
        <v>692</v>
      </c>
      <c r="H904" t="s">
        <v>1907</v>
      </c>
      <c r="I904" t="s">
        <v>187</v>
      </c>
      <c r="J904" t="s">
        <v>183</v>
      </c>
      <c r="K904" t="s">
        <v>52</v>
      </c>
      <c r="L904" t="s">
        <v>1908</v>
      </c>
      <c r="O904">
        <v>5029979</v>
      </c>
      <c r="P904">
        <v>166</v>
      </c>
      <c r="Q904" t="s">
        <v>681</v>
      </c>
      <c r="R904">
        <v>2058.7600000000002</v>
      </c>
      <c r="S904">
        <v>2058.7600000000002</v>
      </c>
      <c r="T904">
        <v>0</v>
      </c>
      <c r="U904" t="s">
        <v>34</v>
      </c>
    </row>
    <row r="905" spans="1:26" x14ac:dyDescent="0.25">
      <c r="A905">
        <f t="shared" ca="1" si="70"/>
        <v>0</v>
      </c>
      <c r="C905">
        <f t="shared" ca="1" si="71"/>
        <v>0</v>
      </c>
      <c r="D905" t="s">
        <v>57</v>
      </c>
      <c r="E905" t="s">
        <v>49</v>
      </c>
      <c r="F905">
        <v>895</v>
      </c>
      <c r="G905" t="s">
        <v>263</v>
      </c>
      <c r="H905" t="s">
        <v>1909</v>
      </c>
      <c r="I905" t="s">
        <v>44</v>
      </c>
      <c r="J905" t="s">
        <v>57</v>
      </c>
      <c r="K905" t="s">
        <v>52</v>
      </c>
      <c r="L905" t="s">
        <v>1910</v>
      </c>
      <c r="M905">
        <v>5000</v>
      </c>
      <c r="N905">
        <v>674</v>
      </c>
      <c r="O905">
        <v>5029989</v>
      </c>
      <c r="P905">
        <v>166</v>
      </c>
      <c r="Q905" t="s">
        <v>681</v>
      </c>
      <c r="R905">
        <v>5864.1</v>
      </c>
      <c r="T905">
        <v>5864.1</v>
      </c>
      <c r="U905" t="s">
        <v>40</v>
      </c>
      <c r="V905" s="1">
        <v>46272</v>
      </c>
      <c r="W905" s="1">
        <v>46276</v>
      </c>
      <c r="Y905" t="s">
        <v>47</v>
      </c>
      <c r="Z905" s="1">
        <v>46137</v>
      </c>
    </row>
    <row r="906" spans="1:26" x14ac:dyDescent="0.25">
      <c r="A906">
        <f t="shared" ca="1" si="70"/>
        <v>0</v>
      </c>
      <c r="C906">
        <f t="shared" ca="1" si="71"/>
        <v>0</v>
      </c>
      <c r="D906" t="s">
        <v>221</v>
      </c>
      <c r="E906" t="s">
        <v>58</v>
      </c>
      <c r="F906">
        <v>301</v>
      </c>
      <c r="G906" t="s">
        <v>1038</v>
      </c>
      <c r="H906" t="s">
        <v>1826</v>
      </c>
      <c r="I906" t="s">
        <v>187</v>
      </c>
      <c r="J906" t="s">
        <v>221</v>
      </c>
      <c r="K906" t="s">
        <v>61</v>
      </c>
      <c r="L906" t="s">
        <v>1911</v>
      </c>
      <c r="M906">
        <v>10000</v>
      </c>
      <c r="N906">
        <v>176</v>
      </c>
      <c r="X906" t="s">
        <v>1820</v>
      </c>
      <c r="Y906" t="s">
        <v>104</v>
      </c>
      <c r="Z906" s="1">
        <v>46059</v>
      </c>
    </row>
    <row r="907" spans="1:26" x14ac:dyDescent="0.25">
      <c r="A907">
        <f t="shared" ca="1" si="70"/>
        <v>0</v>
      </c>
      <c r="C907">
        <f t="shared" ca="1" si="71"/>
        <v>0</v>
      </c>
      <c r="D907" t="s">
        <v>221</v>
      </c>
      <c r="E907" t="s">
        <v>58</v>
      </c>
      <c r="F907">
        <v>579</v>
      </c>
      <c r="G907" t="s">
        <v>1038</v>
      </c>
      <c r="H907" t="s">
        <v>1833</v>
      </c>
      <c r="I907" t="s">
        <v>187</v>
      </c>
      <c r="J907" t="s">
        <v>221</v>
      </c>
      <c r="K907" t="s">
        <v>61</v>
      </c>
      <c r="L907" t="s">
        <v>1912</v>
      </c>
      <c r="M907">
        <v>7000</v>
      </c>
      <c r="N907">
        <v>179</v>
      </c>
      <c r="O907">
        <v>5044102</v>
      </c>
      <c r="P907">
        <v>15962</v>
      </c>
      <c r="Q907" t="s">
        <v>1313</v>
      </c>
      <c r="R907">
        <v>5967.94</v>
      </c>
      <c r="S907">
        <v>5967.94</v>
      </c>
      <c r="T907">
        <v>0</v>
      </c>
      <c r="U907" t="s">
        <v>34</v>
      </c>
      <c r="Y907" t="s">
        <v>104</v>
      </c>
      <c r="Z907" s="1">
        <v>46087</v>
      </c>
    </row>
    <row r="908" spans="1:26" x14ac:dyDescent="0.25">
      <c r="A908">
        <f t="shared" ca="1" si="70"/>
        <v>0</v>
      </c>
      <c r="C908">
        <f t="shared" ca="1" si="71"/>
        <v>0</v>
      </c>
      <c r="D908" t="s">
        <v>196</v>
      </c>
      <c r="E908" t="s">
        <v>64</v>
      </c>
      <c r="F908">
        <v>413</v>
      </c>
      <c r="G908" t="s">
        <v>755</v>
      </c>
      <c r="H908" t="s">
        <v>1913</v>
      </c>
      <c r="I908" t="s">
        <v>187</v>
      </c>
      <c r="J908" t="s">
        <v>196</v>
      </c>
      <c r="K908" t="s">
        <v>67</v>
      </c>
      <c r="L908" t="s">
        <v>1914</v>
      </c>
      <c r="O908">
        <v>5041754</v>
      </c>
      <c r="P908">
        <v>2391</v>
      </c>
      <c r="Q908" t="s">
        <v>314</v>
      </c>
      <c r="R908">
        <v>2654.83</v>
      </c>
      <c r="S908">
        <v>2654.83</v>
      </c>
      <c r="T908">
        <v>0</v>
      </c>
      <c r="U908" t="s">
        <v>34</v>
      </c>
      <c r="V908" s="1">
        <v>46125</v>
      </c>
      <c r="W908" s="1">
        <v>46129</v>
      </c>
    </row>
    <row r="909" spans="1:26" x14ac:dyDescent="0.25">
      <c r="A909">
        <f t="shared" ca="1" si="70"/>
        <v>0</v>
      </c>
      <c r="C909">
        <f t="shared" ca="1" si="71"/>
        <v>0</v>
      </c>
      <c r="D909" t="s">
        <v>562</v>
      </c>
      <c r="E909" t="s">
        <v>64</v>
      </c>
      <c r="F909">
        <v>121</v>
      </c>
      <c r="G909" t="s">
        <v>311</v>
      </c>
      <c r="H909" t="s">
        <v>613</v>
      </c>
      <c r="I909" t="s">
        <v>30</v>
      </c>
      <c r="J909" t="s">
        <v>562</v>
      </c>
      <c r="K909" t="s">
        <v>67</v>
      </c>
      <c r="L909" t="s">
        <v>1915</v>
      </c>
      <c r="M909">
        <v>35000</v>
      </c>
      <c r="N909">
        <v>141</v>
      </c>
      <c r="O909">
        <v>5046731</v>
      </c>
      <c r="P909">
        <v>652</v>
      </c>
      <c r="Q909" t="s">
        <v>1555</v>
      </c>
      <c r="R909">
        <v>15231.03</v>
      </c>
      <c r="S909">
        <v>15231.03</v>
      </c>
      <c r="T909">
        <v>0</v>
      </c>
      <c r="U909" t="s">
        <v>34</v>
      </c>
      <c r="V909" s="1">
        <v>46111</v>
      </c>
      <c r="W909" s="1">
        <v>46142</v>
      </c>
      <c r="X909" t="s">
        <v>1916</v>
      </c>
    </row>
    <row r="910" spans="1:26" x14ac:dyDescent="0.25">
      <c r="A910">
        <f t="shared" ca="1" si="70"/>
        <v>0</v>
      </c>
      <c r="C910">
        <f t="shared" ca="1" si="71"/>
        <v>0</v>
      </c>
      <c r="D910" t="s">
        <v>562</v>
      </c>
      <c r="E910" t="s">
        <v>64</v>
      </c>
      <c r="F910">
        <v>121</v>
      </c>
      <c r="G910" t="s">
        <v>311</v>
      </c>
      <c r="H910" t="s">
        <v>613</v>
      </c>
      <c r="I910" t="s">
        <v>30</v>
      </c>
      <c r="J910" t="s">
        <v>562</v>
      </c>
      <c r="K910" t="s">
        <v>67</v>
      </c>
      <c r="L910" t="s">
        <v>1917</v>
      </c>
      <c r="M910">
        <v>35000</v>
      </c>
      <c r="N910">
        <v>141</v>
      </c>
      <c r="O910">
        <v>5046751</v>
      </c>
      <c r="P910">
        <v>652</v>
      </c>
      <c r="Q910" t="s">
        <v>1555</v>
      </c>
      <c r="R910">
        <v>15231.03</v>
      </c>
      <c r="S910">
        <v>15231.03</v>
      </c>
      <c r="T910">
        <v>0</v>
      </c>
      <c r="U910" t="s">
        <v>34</v>
      </c>
      <c r="V910" s="1">
        <v>46111</v>
      </c>
      <c r="W910" s="1">
        <v>46142</v>
      </c>
      <c r="X910" t="s">
        <v>1916</v>
      </c>
    </row>
    <row r="911" spans="1:26" x14ac:dyDescent="0.25">
      <c r="A911">
        <f t="shared" ca="1" si="70"/>
        <v>0</v>
      </c>
      <c r="C911">
        <f t="shared" ca="1" si="71"/>
        <v>0</v>
      </c>
      <c r="D911" t="s">
        <v>562</v>
      </c>
      <c r="E911" t="s">
        <v>64</v>
      </c>
      <c r="F911">
        <v>121</v>
      </c>
      <c r="G911" t="s">
        <v>311</v>
      </c>
      <c r="H911" t="s">
        <v>613</v>
      </c>
      <c r="I911" t="s">
        <v>30</v>
      </c>
      <c r="J911" t="s">
        <v>562</v>
      </c>
      <c r="K911" t="s">
        <v>67</v>
      </c>
      <c r="L911" t="s">
        <v>1918</v>
      </c>
      <c r="M911">
        <v>35000</v>
      </c>
      <c r="N911">
        <v>141</v>
      </c>
      <c r="O911">
        <v>5046763</v>
      </c>
      <c r="P911">
        <v>652</v>
      </c>
      <c r="Q911" t="s">
        <v>1555</v>
      </c>
      <c r="R911">
        <v>11098.6</v>
      </c>
      <c r="S911">
        <v>11098.6</v>
      </c>
      <c r="T911">
        <v>0</v>
      </c>
      <c r="U911" t="s">
        <v>34</v>
      </c>
      <c r="V911" s="1">
        <v>46111</v>
      </c>
      <c r="W911" s="1">
        <v>46142</v>
      </c>
      <c r="X911" t="s">
        <v>1916</v>
      </c>
    </row>
    <row r="912" spans="1:26" x14ac:dyDescent="0.25">
      <c r="A912">
        <f t="shared" ca="1" si="70"/>
        <v>0</v>
      </c>
      <c r="C912">
        <f t="shared" ca="1" si="71"/>
        <v>0</v>
      </c>
      <c r="D912" t="s">
        <v>35</v>
      </c>
      <c r="E912" t="s">
        <v>64</v>
      </c>
      <c r="F912">
        <v>103</v>
      </c>
      <c r="G912" t="s">
        <v>588</v>
      </c>
      <c r="H912" t="s">
        <v>589</v>
      </c>
      <c r="I912" t="s">
        <v>30</v>
      </c>
      <c r="J912" t="s">
        <v>35</v>
      </c>
      <c r="K912" t="s">
        <v>67</v>
      </c>
      <c r="L912" t="s">
        <v>590</v>
      </c>
      <c r="M912">
        <v>8000</v>
      </c>
      <c r="N912">
        <v>165</v>
      </c>
      <c r="O912">
        <v>5050127</v>
      </c>
      <c r="P912">
        <v>3718</v>
      </c>
      <c r="Q912" t="s">
        <v>113</v>
      </c>
      <c r="R912">
        <v>2773.58</v>
      </c>
      <c r="S912">
        <v>2773.58</v>
      </c>
      <c r="T912">
        <v>0</v>
      </c>
      <c r="U912" t="s">
        <v>34</v>
      </c>
      <c r="V912" s="1">
        <v>46100</v>
      </c>
      <c r="W912" s="1">
        <v>46109</v>
      </c>
    </row>
    <row r="913" spans="1:26" x14ac:dyDescent="0.25">
      <c r="A913">
        <f t="shared" ca="1" si="70"/>
        <v>0</v>
      </c>
      <c r="C913">
        <f t="shared" ca="1" si="71"/>
        <v>0</v>
      </c>
      <c r="D913" t="s">
        <v>74</v>
      </c>
      <c r="E913" t="s">
        <v>64</v>
      </c>
      <c r="F913">
        <v>663</v>
      </c>
      <c r="G913" t="s">
        <v>605</v>
      </c>
      <c r="H913" t="s">
        <v>1785</v>
      </c>
      <c r="I913" t="s">
        <v>30</v>
      </c>
      <c r="J913" t="s">
        <v>74</v>
      </c>
      <c r="K913" t="s">
        <v>67</v>
      </c>
      <c r="L913" t="s">
        <v>1919</v>
      </c>
      <c r="M913">
        <v>8000</v>
      </c>
      <c r="N913">
        <v>155</v>
      </c>
    </row>
    <row r="914" spans="1:26" x14ac:dyDescent="0.25">
      <c r="A914">
        <f t="shared" ca="1" si="70"/>
        <v>0</v>
      </c>
      <c r="C914">
        <f t="shared" ca="1" si="71"/>
        <v>0</v>
      </c>
      <c r="D914" t="s">
        <v>196</v>
      </c>
      <c r="E914" t="s">
        <v>64</v>
      </c>
      <c r="F914">
        <v>433</v>
      </c>
      <c r="G914" t="s">
        <v>65</v>
      </c>
      <c r="H914" t="s">
        <v>1920</v>
      </c>
      <c r="I914" t="s">
        <v>187</v>
      </c>
      <c r="J914" t="s">
        <v>196</v>
      </c>
      <c r="K914" t="s">
        <v>67</v>
      </c>
      <c r="L914" t="s">
        <v>1921</v>
      </c>
      <c r="P914">
        <v>2391</v>
      </c>
      <c r="Q914" t="s">
        <v>314</v>
      </c>
      <c r="R914">
        <v>2960.88</v>
      </c>
      <c r="S914">
        <v>2960.88</v>
      </c>
      <c r="T914">
        <v>0</v>
      </c>
      <c r="U914" t="s">
        <v>34</v>
      </c>
      <c r="V914" s="1">
        <v>46154</v>
      </c>
      <c r="W914" s="1">
        <v>46156</v>
      </c>
    </row>
    <row r="915" spans="1:26" x14ac:dyDescent="0.25">
      <c r="A915">
        <f t="shared" ca="1" si="70"/>
        <v>0</v>
      </c>
      <c r="C915">
        <f t="shared" ca="1" si="71"/>
        <v>0</v>
      </c>
      <c r="D915" t="s">
        <v>41</v>
      </c>
      <c r="E915" t="s">
        <v>64</v>
      </c>
      <c r="F915">
        <v>119</v>
      </c>
      <c r="G915" t="s">
        <v>588</v>
      </c>
      <c r="H915" t="s">
        <v>589</v>
      </c>
      <c r="I915" t="s">
        <v>44</v>
      </c>
      <c r="J915" t="s">
        <v>41</v>
      </c>
      <c r="K915" t="s">
        <v>67</v>
      </c>
      <c r="L915" t="s">
        <v>1760</v>
      </c>
      <c r="M915">
        <v>5000</v>
      </c>
      <c r="N915">
        <v>133</v>
      </c>
      <c r="P915">
        <v>7431</v>
      </c>
      <c r="Q915" t="s">
        <v>121</v>
      </c>
      <c r="R915">
        <v>1078</v>
      </c>
      <c r="S915">
        <v>1078</v>
      </c>
      <c r="T915">
        <v>0</v>
      </c>
      <c r="U915" t="s">
        <v>34</v>
      </c>
      <c r="X915" t="s">
        <v>1922</v>
      </c>
    </row>
    <row r="916" spans="1:26" x14ac:dyDescent="0.25">
      <c r="A916">
        <f t="shared" ca="1" si="70"/>
        <v>0</v>
      </c>
      <c r="C916">
        <f t="shared" ca="1" si="71"/>
        <v>0</v>
      </c>
      <c r="D916" t="s">
        <v>26</v>
      </c>
      <c r="E916" t="s">
        <v>64</v>
      </c>
      <c r="F916">
        <v>433</v>
      </c>
      <c r="G916" t="s">
        <v>65</v>
      </c>
      <c r="H916" t="s">
        <v>1923</v>
      </c>
      <c r="I916" t="s">
        <v>30</v>
      </c>
      <c r="J916" t="s">
        <v>26</v>
      </c>
      <c r="K916" t="s">
        <v>67</v>
      </c>
      <c r="L916" t="s">
        <v>786</v>
      </c>
      <c r="M916">
        <v>7000</v>
      </c>
      <c r="N916">
        <v>153</v>
      </c>
      <c r="O916">
        <v>5050001</v>
      </c>
      <c r="P916">
        <v>4146</v>
      </c>
      <c r="Q916" t="s">
        <v>91</v>
      </c>
      <c r="R916">
        <v>6839.8</v>
      </c>
      <c r="S916">
        <v>6839.8</v>
      </c>
      <c r="T916">
        <v>0</v>
      </c>
      <c r="U916" t="s">
        <v>34</v>
      </c>
      <c r="V916" s="1">
        <v>46114</v>
      </c>
      <c r="W916" s="1">
        <v>46115</v>
      </c>
      <c r="X916" t="s">
        <v>1924</v>
      </c>
    </row>
    <row r="917" spans="1:26" x14ac:dyDescent="0.25">
      <c r="A917">
        <f t="shared" ca="1" si="70"/>
        <v>0</v>
      </c>
      <c r="C917">
        <f t="shared" ca="1" si="71"/>
        <v>0</v>
      </c>
      <c r="D917" t="s">
        <v>35</v>
      </c>
      <c r="E917" t="s">
        <v>27</v>
      </c>
      <c r="F917">
        <v>514</v>
      </c>
      <c r="G917" t="s">
        <v>1078</v>
      </c>
      <c r="H917" t="s">
        <v>1925</v>
      </c>
      <c r="I917" t="s">
        <v>30</v>
      </c>
      <c r="J917" t="s">
        <v>35</v>
      </c>
      <c r="K917" t="s">
        <v>31</v>
      </c>
      <c r="L917" t="s">
        <v>1926</v>
      </c>
      <c r="O917">
        <v>5049249</v>
      </c>
      <c r="P917">
        <v>6455</v>
      </c>
      <c r="Q917" t="s">
        <v>39</v>
      </c>
    </row>
    <row r="918" spans="1:26" x14ac:dyDescent="0.25">
      <c r="A918">
        <f t="shared" ca="1" si="70"/>
        <v>0</v>
      </c>
      <c r="C918">
        <f t="shared" ca="1" si="71"/>
        <v>0</v>
      </c>
      <c r="D918" t="s">
        <v>35</v>
      </c>
      <c r="E918" t="s">
        <v>27</v>
      </c>
      <c r="F918">
        <v>248</v>
      </c>
      <c r="G918" t="s">
        <v>1078</v>
      </c>
      <c r="H918" t="s">
        <v>1927</v>
      </c>
      <c r="I918" t="s">
        <v>30</v>
      </c>
      <c r="J918" t="s">
        <v>35</v>
      </c>
      <c r="K918" t="s">
        <v>31</v>
      </c>
      <c r="L918" t="s">
        <v>1928</v>
      </c>
      <c r="O918">
        <v>5049281</v>
      </c>
      <c r="P918">
        <v>6455</v>
      </c>
      <c r="Q918" t="s">
        <v>39</v>
      </c>
      <c r="R918">
        <v>2603.7800000000002</v>
      </c>
      <c r="S918">
        <v>2603.7800000000002</v>
      </c>
      <c r="T918">
        <v>0</v>
      </c>
      <c r="U918" t="s">
        <v>34</v>
      </c>
      <c r="V918" s="1">
        <v>46113</v>
      </c>
      <c r="W918" s="1">
        <v>46127</v>
      </c>
      <c r="Y918" t="s">
        <v>104</v>
      </c>
      <c r="Z918" s="1">
        <v>46104</v>
      </c>
    </row>
    <row r="919" spans="1:26" x14ac:dyDescent="0.25">
      <c r="A919">
        <f t="shared" ca="1" si="70"/>
        <v>0</v>
      </c>
      <c r="C919">
        <f t="shared" ca="1" si="71"/>
        <v>0</v>
      </c>
      <c r="D919" t="s">
        <v>41</v>
      </c>
      <c r="E919" t="s">
        <v>27</v>
      </c>
      <c r="F919">
        <v>295</v>
      </c>
      <c r="G919" t="s">
        <v>28</v>
      </c>
      <c r="H919" t="s">
        <v>1929</v>
      </c>
      <c r="I919" t="s">
        <v>44</v>
      </c>
      <c r="J919" t="s">
        <v>41</v>
      </c>
      <c r="K919" t="s">
        <v>31</v>
      </c>
      <c r="L919" t="s">
        <v>1930</v>
      </c>
      <c r="O919">
        <v>5049303</v>
      </c>
      <c r="P919">
        <v>25204</v>
      </c>
      <c r="Q919" t="s">
        <v>46</v>
      </c>
      <c r="R919">
        <v>3348.99</v>
      </c>
      <c r="S919">
        <v>3348.99</v>
      </c>
      <c r="T919">
        <v>0</v>
      </c>
      <c r="U919" t="s">
        <v>34</v>
      </c>
      <c r="V919" s="1">
        <v>46127</v>
      </c>
      <c r="W919" s="1">
        <v>46142</v>
      </c>
    </row>
    <row r="920" spans="1:26" x14ac:dyDescent="0.25">
      <c r="A920">
        <f t="shared" ca="1" si="70"/>
        <v>0</v>
      </c>
      <c r="C920">
        <f t="shared" ca="1" si="71"/>
        <v>0</v>
      </c>
      <c r="D920" t="s">
        <v>57</v>
      </c>
      <c r="E920" t="s">
        <v>58</v>
      </c>
      <c r="F920">
        <v>794</v>
      </c>
      <c r="G920" t="s">
        <v>213</v>
      </c>
      <c r="H920" t="s">
        <v>1931</v>
      </c>
      <c r="I920" t="s">
        <v>44</v>
      </c>
      <c r="J920" t="s">
        <v>57</v>
      </c>
      <c r="K920" t="s">
        <v>61</v>
      </c>
      <c r="L920" t="s">
        <v>1932</v>
      </c>
      <c r="M920">
        <v>5000</v>
      </c>
      <c r="N920">
        <v>218</v>
      </c>
      <c r="O920">
        <v>5013265</v>
      </c>
      <c r="P920">
        <v>8598</v>
      </c>
      <c r="Q920" t="s">
        <v>78</v>
      </c>
      <c r="R920">
        <v>3712.5</v>
      </c>
      <c r="S920">
        <v>3712.5</v>
      </c>
      <c r="T920">
        <v>0</v>
      </c>
      <c r="U920" t="s">
        <v>34</v>
      </c>
      <c r="V920" s="1">
        <v>46167</v>
      </c>
      <c r="W920" s="1">
        <v>46173</v>
      </c>
      <c r="X920" t="s">
        <v>593</v>
      </c>
      <c r="Y920" t="s">
        <v>676</v>
      </c>
      <c r="Z920" s="1">
        <v>46154</v>
      </c>
    </row>
    <row r="921" spans="1:26" x14ac:dyDescent="0.25">
      <c r="A921">
        <f t="shared" ca="1" si="70"/>
        <v>0</v>
      </c>
      <c r="C921">
        <f t="shared" ca="1" si="71"/>
        <v>0</v>
      </c>
      <c r="D921" t="s">
        <v>35</v>
      </c>
      <c r="E921" t="s">
        <v>64</v>
      </c>
      <c r="F921">
        <v>778</v>
      </c>
      <c r="G921" t="s">
        <v>1217</v>
      </c>
      <c r="H921" t="s">
        <v>1933</v>
      </c>
      <c r="I921" t="s">
        <v>30</v>
      </c>
      <c r="J921" t="s">
        <v>35</v>
      </c>
      <c r="K921" t="s">
        <v>67</v>
      </c>
      <c r="L921" t="s">
        <v>1934</v>
      </c>
      <c r="O921">
        <v>5067856</v>
      </c>
      <c r="P921">
        <v>2391</v>
      </c>
      <c r="Q921" t="s">
        <v>314</v>
      </c>
      <c r="R921">
        <v>4159.51</v>
      </c>
      <c r="S921">
        <v>4159.51</v>
      </c>
      <c r="T921">
        <v>0</v>
      </c>
      <c r="U921" t="s">
        <v>34</v>
      </c>
      <c r="X921" t="s">
        <v>1935</v>
      </c>
    </row>
    <row r="922" spans="1:26" x14ac:dyDescent="0.25">
      <c r="A922">
        <f t="shared" ca="1" si="70"/>
        <v>0</v>
      </c>
      <c r="C922">
        <f t="shared" ca="1" si="71"/>
        <v>0</v>
      </c>
      <c r="D922" t="s">
        <v>203</v>
      </c>
      <c r="E922" t="s">
        <v>64</v>
      </c>
      <c r="F922">
        <v>365</v>
      </c>
      <c r="G922" t="s">
        <v>755</v>
      </c>
      <c r="H922" t="s">
        <v>1756</v>
      </c>
      <c r="I922" t="s">
        <v>44</v>
      </c>
      <c r="J922" t="s">
        <v>203</v>
      </c>
      <c r="K922" t="s">
        <v>67</v>
      </c>
      <c r="L922" t="s">
        <v>1936</v>
      </c>
      <c r="M922">
        <v>8000</v>
      </c>
      <c r="N922">
        <v>129</v>
      </c>
      <c r="O922">
        <v>5067862</v>
      </c>
      <c r="P922">
        <v>503</v>
      </c>
      <c r="Q922" t="s">
        <v>1246</v>
      </c>
      <c r="R922">
        <v>1196.25</v>
      </c>
      <c r="S922">
        <v>1196.25</v>
      </c>
      <c r="T922">
        <v>0</v>
      </c>
      <c r="U922" t="s">
        <v>34</v>
      </c>
      <c r="V922" s="1">
        <v>46147</v>
      </c>
      <c r="W922" s="1">
        <v>46154</v>
      </c>
    </row>
    <row r="923" spans="1:26" x14ac:dyDescent="0.25">
      <c r="A923">
        <f t="shared" ca="1" si="70"/>
        <v>0</v>
      </c>
      <c r="C923">
        <f t="shared" ca="1" si="71"/>
        <v>0</v>
      </c>
      <c r="D923" t="s">
        <v>26</v>
      </c>
      <c r="E923" t="s">
        <v>58</v>
      </c>
      <c r="F923">
        <v>1382</v>
      </c>
      <c r="G923" t="s">
        <v>747</v>
      </c>
      <c r="H923" t="s">
        <v>1937</v>
      </c>
      <c r="I923" t="s">
        <v>30</v>
      </c>
      <c r="J923" t="s">
        <v>26</v>
      </c>
      <c r="K923" t="s">
        <v>61</v>
      </c>
      <c r="L923" t="s">
        <v>1058</v>
      </c>
      <c r="M923">
        <v>20000</v>
      </c>
      <c r="N923">
        <v>272</v>
      </c>
      <c r="O923">
        <v>5024116</v>
      </c>
      <c r="P923">
        <v>7431</v>
      </c>
      <c r="Q923" t="s">
        <v>121</v>
      </c>
      <c r="R923">
        <v>18260</v>
      </c>
      <c r="S923">
        <v>18260</v>
      </c>
      <c r="T923">
        <v>0</v>
      </c>
      <c r="U923" t="s">
        <v>34</v>
      </c>
      <c r="V923" s="1">
        <v>46218</v>
      </c>
      <c r="W923" s="1">
        <v>46222</v>
      </c>
      <c r="X923" t="s">
        <v>593</v>
      </c>
      <c r="Y923" t="s">
        <v>47</v>
      </c>
      <c r="Z923" s="1">
        <v>46181</v>
      </c>
    </row>
    <row r="924" spans="1:26" x14ac:dyDescent="0.25">
      <c r="A924">
        <f t="shared" ca="1" si="70"/>
        <v>0</v>
      </c>
      <c r="C924">
        <f t="shared" ca="1" si="71"/>
        <v>0</v>
      </c>
      <c r="D924" t="s">
        <v>35</v>
      </c>
      <c r="E924" t="s">
        <v>445</v>
      </c>
      <c r="F924">
        <v>1950</v>
      </c>
      <c r="G924" t="s">
        <v>446</v>
      </c>
      <c r="H924" t="s">
        <v>1938</v>
      </c>
      <c r="I924" t="s">
        <v>30</v>
      </c>
      <c r="J924" t="s">
        <v>35</v>
      </c>
      <c r="K924" t="s">
        <v>448</v>
      </c>
      <c r="L924" t="s">
        <v>1939</v>
      </c>
      <c r="M924">
        <v>1000</v>
      </c>
      <c r="N924">
        <v>567</v>
      </c>
      <c r="O924">
        <v>5075940</v>
      </c>
      <c r="P924">
        <v>8168</v>
      </c>
      <c r="Q924" t="s">
        <v>385</v>
      </c>
      <c r="R924">
        <v>354.46</v>
      </c>
      <c r="T924">
        <v>354.46</v>
      </c>
      <c r="X924" t="s">
        <v>1940</v>
      </c>
    </row>
    <row r="925" spans="1:26" x14ac:dyDescent="0.25">
      <c r="A925">
        <f t="shared" ca="1" si="70"/>
        <v>0</v>
      </c>
      <c r="C925">
        <f t="shared" ca="1" si="71"/>
        <v>0</v>
      </c>
      <c r="D925" t="s">
        <v>203</v>
      </c>
      <c r="E925" t="s">
        <v>64</v>
      </c>
      <c r="F925">
        <v>103</v>
      </c>
      <c r="G925" t="s">
        <v>588</v>
      </c>
      <c r="H925" t="s">
        <v>589</v>
      </c>
      <c r="I925" t="s">
        <v>44</v>
      </c>
      <c r="J925" t="s">
        <v>203</v>
      </c>
      <c r="K925" t="s">
        <v>67</v>
      </c>
      <c r="L925" t="s">
        <v>1941</v>
      </c>
      <c r="M925">
        <v>12000</v>
      </c>
      <c r="N925">
        <v>131</v>
      </c>
      <c r="O925">
        <v>5031905</v>
      </c>
      <c r="P925">
        <v>4146</v>
      </c>
      <c r="Q925" t="s">
        <v>91</v>
      </c>
      <c r="R925">
        <v>11352</v>
      </c>
      <c r="S925">
        <v>11352</v>
      </c>
      <c r="T925">
        <v>0</v>
      </c>
      <c r="U925" t="s">
        <v>34</v>
      </c>
      <c r="V925" s="1">
        <v>46197</v>
      </c>
      <c r="W925" s="1">
        <v>46203</v>
      </c>
      <c r="X925" t="s">
        <v>1942</v>
      </c>
    </row>
    <row r="926" spans="1:26" x14ac:dyDescent="0.25">
      <c r="A926">
        <f t="shared" ca="1" si="70"/>
        <v>0</v>
      </c>
      <c r="C926">
        <f t="shared" ca="1" si="71"/>
        <v>0</v>
      </c>
      <c r="D926" t="s">
        <v>183</v>
      </c>
      <c r="E926" t="s">
        <v>49</v>
      </c>
      <c r="F926">
        <v>1573</v>
      </c>
      <c r="G926" t="s">
        <v>228</v>
      </c>
      <c r="H926" t="s">
        <v>1943</v>
      </c>
      <c r="I926" t="s">
        <v>187</v>
      </c>
      <c r="J926" t="s">
        <v>183</v>
      </c>
      <c r="K926" t="s">
        <v>52</v>
      </c>
      <c r="L926" t="s">
        <v>1944</v>
      </c>
      <c r="M926">
        <v>10000</v>
      </c>
      <c r="N926">
        <v>662</v>
      </c>
      <c r="X926" t="s">
        <v>1945</v>
      </c>
    </row>
    <row r="927" spans="1:26" x14ac:dyDescent="0.25">
      <c r="A927" t="s">
        <v>1946</v>
      </c>
    </row>
    <row r="928" spans="1:26" x14ac:dyDescent="0.25">
      <c r="A928" t="s">
        <v>1947</v>
      </c>
    </row>
    <row r="929" spans="1:26" x14ac:dyDescent="0.25">
      <c r="A929">
        <f ca="1">+ Cmde</f>
        <v>0</v>
      </c>
      <c r="C929">
        <f ca="1">+ Devis</f>
        <v>0</v>
      </c>
      <c r="D929" t="s">
        <v>57</v>
      </c>
      <c r="E929" t="s">
        <v>58</v>
      </c>
      <c r="F929">
        <v>38</v>
      </c>
      <c r="G929" t="s">
        <v>59</v>
      </c>
      <c r="H929" t="s">
        <v>1948</v>
      </c>
      <c r="I929" t="s">
        <v>44</v>
      </c>
      <c r="J929" t="s">
        <v>57</v>
      </c>
      <c r="K929" t="s">
        <v>61</v>
      </c>
      <c r="L929" t="s">
        <v>1949</v>
      </c>
      <c r="M929">
        <v>5000</v>
      </c>
      <c r="N929">
        <v>216</v>
      </c>
      <c r="O929">
        <v>5010892</v>
      </c>
      <c r="P929">
        <v>503</v>
      </c>
      <c r="Q929" t="s">
        <v>1246</v>
      </c>
      <c r="R929">
        <v>3382.5</v>
      </c>
      <c r="T929">
        <v>3382.5</v>
      </c>
      <c r="X929" t="s">
        <v>1869</v>
      </c>
    </row>
    <row r="930" spans="1:26" x14ac:dyDescent="0.25">
      <c r="A930">
        <f ca="1">+ Cmde</f>
        <v>0</v>
      </c>
      <c r="C930">
        <f ca="1">+ Devis</f>
        <v>0</v>
      </c>
      <c r="D930" t="s">
        <v>203</v>
      </c>
      <c r="E930" t="s">
        <v>58</v>
      </c>
      <c r="F930">
        <v>216</v>
      </c>
      <c r="G930" t="s">
        <v>426</v>
      </c>
      <c r="H930" t="s">
        <v>1950</v>
      </c>
      <c r="I930" t="s">
        <v>44</v>
      </c>
      <c r="J930" t="s">
        <v>203</v>
      </c>
      <c r="K930" t="s">
        <v>215</v>
      </c>
      <c r="L930" t="s">
        <v>1951</v>
      </c>
      <c r="M930">
        <v>5000</v>
      </c>
      <c r="N930">
        <v>217</v>
      </c>
      <c r="P930">
        <v>8346</v>
      </c>
      <c r="Q930" t="s">
        <v>1952</v>
      </c>
      <c r="R930">
        <v>6255.63</v>
      </c>
      <c r="S930">
        <v>6255.63</v>
      </c>
      <c r="T930">
        <v>0</v>
      </c>
      <c r="X930" t="s">
        <v>1953</v>
      </c>
    </row>
    <row r="931" spans="1:26" x14ac:dyDescent="0.25">
      <c r="A931" t="s">
        <v>1954</v>
      </c>
    </row>
    <row r="932" spans="1:26" x14ac:dyDescent="0.25">
      <c r="A932">
        <f t="shared" ref="A932:A947" ca="1" si="72">+ Cmde</f>
        <v>0</v>
      </c>
      <c r="C932">
        <f t="shared" ref="C932:C947" ca="1" si="73">+ Devis</f>
        <v>0</v>
      </c>
      <c r="D932" t="s">
        <v>57</v>
      </c>
      <c r="E932" t="s">
        <v>58</v>
      </c>
      <c r="F932">
        <v>940</v>
      </c>
      <c r="G932" t="s">
        <v>1038</v>
      </c>
      <c r="H932" t="s">
        <v>1165</v>
      </c>
      <c r="I932" t="s">
        <v>44</v>
      </c>
      <c r="J932" t="s">
        <v>57</v>
      </c>
      <c r="K932" t="s">
        <v>61</v>
      </c>
      <c r="L932" t="s">
        <v>1955</v>
      </c>
      <c r="M932">
        <v>4500</v>
      </c>
      <c r="N932">
        <v>220</v>
      </c>
      <c r="O932">
        <v>5013260</v>
      </c>
      <c r="P932">
        <v>29</v>
      </c>
      <c r="Q932" t="s">
        <v>933</v>
      </c>
      <c r="R932">
        <v>12613.66</v>
      </c>
      <c r="S932">
        <v>12613.66</v>
      </c>
      <c r="T932">
        <v>0</v>
      </c>
      <c r="U932" t="s">
        <v>34</v>
      </c>
      <c r="V932" s="1">
        <v>46055</v>
      </c>
      <c r="W932" s="1">
        <v>46081</v>
      </c>
      <c r="X932" t="s">
        <v>1956</v>
      </c>
      <c r="Y932" t="s">
        <v>676</v>
      </c>
      <c r="Z932" s="1">
        <v>46054</v>
      </c>
    </row>
    <row r="933" spans="1:26" x14ac:dyDescent="0.25">
      <c r="A933">
        <f t="shared" ca="1" si="72"/>
        <v>0</v>
      </c>
      <c r="C933">
        <f t="shared" ca="1" si="73"/>
        <v>0</v>
      </c>
      <c r="D933" t="s">
        <v>209</v>
      </c>
      <c r="E933" t="s">
        <v>58</v>
      </c>
      <c r="F933">
        <v>48</v>
      </c>
      <c r="G933" t="s">
        <v>747</v>
      </c>
      <c r="H933" t="s">
        <v>1375</v>
      </c>
      <c r="I933" t="s">
        <v>44</v>
      </c>
      <c r="J933" t="s">
        <v>209</v>
      </c>
      <c r="K933" t="s">
        <v>61</v>
      </c>
      <c r="L933" t="s">
        <v>1957</v>
      </c>
      <c r="M933">
        <v>4000</v>
      </c>
      <c r="N933">
        <v>221</v>
      </c>
      <c r="O933">
        <v>5021527</v>
      </c>
      <c r="P933">
        <v>153</v>
      </c>
      <c r="Q933" t="s">
        <v>98</v>
      </c>
      <c r="R933">
        <v>6399.47</v>
      </c>
      <c r="S933">
        <v>6399.47</v>
      </c>
      <c r="T933">
        <v>0</v>
      </c>
      <c r="U933" t="s">
        <v>34</v>
      </c>
      <c r="X933" t="s">
        <v>296</v>
      </c>
    </row>
    <row r="934" spans="1:26" x14ac:dyDescent="0.25">
      <c r="A934">
        <f t="shared" ca="1" si="72"/>
        <v>0</v>
      </c>
      <c r="C934">
        <f t="shared" ca="1" si="73"/>
        <v>0</v>
      </c>
      <c r="D934" t="s">
        <v>41</v>
      </c>
      <c r="E934" t="s">
        <v>58</v>
      </c>
      <c r="F934">
        <v>133</v>
      </c>
      <c r="G934" t="s">
        <v>426</v>
      </c>
      <c r="H934" t="s">
        <v>1958</v>
      </c>
      <c r="I934" t="s">
        <v>44</v>
      </c>
      <c r="J934" t="s">
        <v>41</v>
      </c>
      <c r="K934" t="s">
        <v>215</v>
      </c>
      <c r="L934" t="s">
        <v>1959</v>
      </c>
      <c r="M934">
        <v>4000</v>
      </c>
      <c r="N934">
        <v>222</v>
      </c>
      <c r="O934">
        <v>5109283</v>
      </c>
      <c r="P934">
        <v>4921</v>
      </c>
      <c r="Q934" t="s">
        <v>94</v>
      </c>
      <c r="R934">
        <v>2362.42</v>
      </c>
      <c r="T934">
        <v>2362.42</v>
      </c>
      <c r="U934" t="s">
        <v>40</v>
      </c>
      <c r="V934" s="1">
        <v>46265</v>
      </c>
      <c r="W934" s="1">
        <v>46297</v>
      </c>
      <c r="X934" t="s">
        <v>1960</v>
      </c>
    </row>
    <row r="935" spans="1:26" x14ac:dyDescent="0.25">
      <c r="A935">
        <f t="shared" ca="1" si="72"/>
        <v>0</v>
      </c>
      <c r="C935">
        <f t="shared" ca="1" si="73"/>
        <v>0</v>
      </c>
      <c r="D935" t="s">
        <v>41</v>
      </c>
      <c r="E935" t="s">
        <v>58</v>
      </c>
      <c r="F935">
        <v>250</v>
      </c>
      <c r="G935" t="s">
        <v>747</v>
      </c>
      <c r="H935" t="s">
        <v>1961</v>
      </c>
      <c r="I935" t="s">
        <v>44</v>
      </c>
      <c r="J935" t="s">
        <v>41</v>
      </c>
      <c r="K935" t="s">
        <v>61</v>
      </c>
      <c r="L935" t="s">
        <v>1962</v>
      </c>
      <c r="M935">
        <v>4000</v>
      </c>
      <c r="N935">
        <v>224</v>
      </c>
      <c r="O935">
        <v>5010852</v>
      </c>
      <c r="P935">
        <v>25204</v>
      </c>
      <c r="Q935" t="s">
        <v>46</v>
      </c>
      <c r="R935">
        <v>3622.18</v>
      </c>
      <c r="S935">
        <v>3622.18</v>
      </c>
      <c r="T935">
        <v>0</v>
      </c>
      <c r="U935" t="s">
        <v>34</v>
      </c>
    </row>
    <row r="936" spans="1:26" x14ac:dyDescent="0.25">
      <c r="A936">
        <f t="shared" ca="1" si="72"/>
        <v>0</v>
      </c>
      <c r="C936">
        <f t="shared" ca="1" si="73"/>
        <v>0</v>
      </c>
      <c r="D936" t="s">
        <v>203</v>
      </c>
      <c r="E936" t="s">
        <v>58</v>
      </c>
      <c r="F936">
        <v>606</v>
      </c>
      <c r="G936" t="s">
        <v>602</v>
      </c>
      <c r="H936" t="s">
        <v>1963</v>
      </c>
      <c r="I936" t="s">
        <v>44</v>
      </c>
      <c r="J936" t="s">
        <v>203</v>
      </c>
      <c r="K936" t="s">
        <v>61</v>
      </c>
      <c r="L936" t="s">
        <v>1964</v>
      </c>
      <c r="M936">
        <v>4000</v>
      </c>
      <c r="N936">
        <v>225</v>
      </c>
      <c r="O936">
        <v>5010879</v>
      </c>
      <c r="P936">
        <v>6836</v>
      </c>
      <c r="Q936" t="s">
        <v>968</v>
      </c>
      <c r="R936">
        <v>2855.6</v>
      </c>
      <c r="T936">
        <v>2855.6</v>
      </c>
      <c r="X936" t="s">
        <v>296</v>
      </c>
    </row>
    <row r="937" spans="1:26" x14ac:dyDescent="0.25">
      <c r="A937">
        <f t="shared" ca="1" si="72"/>
        <v>0</v>
      </c>
      <c r="C937">
        <f t="shared" ca="1" si="73"/>
        <v>0</v>
      </c>
      <c r="D937" t="s">
        <v>41</v>
      </c>
      <c r="E937" t="s">
        <v>58</v>
      </c>
      <c r="F937">
        <v>1072</v>
      </c>
      <c r="G937" t="s">
        <v>747</v>
      </c>
      <c r="H937" t="s">
        <v>1965</v>
      </c>
      <c r="I937" t="s">
        <v>44</v>
      </c>
      <c r="J937" t="s">
        <v>41</v>
      </c>
      <c r="K937" t="s">
        <v>61</v>
      </c>
      <c r="L937" t="s">
        <v>1966</v>
      </c>
      <c r="M937">
        <v>4000</v>
      </c>
      <c r="N937">
        <v>226</v>
      </c>
      <c r="O937">
        <v>5013259</v>
      </c>
      <c r="P937">
        <v>2427</v>
      </c>
      <c r="Q937" t="s">
        <v>1015</v>
      </c>
      <c r="R937">
        <v>3445.24</v>
      </c>
      <c r="S937">
        <v>3445.24</v>
      </c>
      <c r="T937">
        <v>0</v>
      </c>
      <c r="U937" t="s">
        <v>34</v>
      </c>
      <c r="V937" s="1">
        <v>46097</v>
      </c>
      <c r="W937" s="1">
        <v>46111</v>
      </c>
      <c r="X937" t="s">
        <v>1302</v>
      </c>
    </row>
    <row r="938" spans="1:26" x14ac:dyDescent="0.25">
      <c r="A938">
        <f t="shared" ca="1" si="72"/>
        <v>0</v>
      </c>
      <c r="C938">
        <f t="shared" ca="1" si="73"/>
        <v>0</v>
      </c>
      <c r="D938" t="s">
        <v>57</v>
      </c>
      <c r="E938" t="s">
        <v>58</v>
      </c>
      <c r="F938">
        <v>1321</v>
      </c>
      <c r="G938" t="s">
        <v>213</v>
      </c>
      <c r="H938" t="s">
        <v>1967</v>
      </c>
      <c r="I938" t="s">
        <v>44</v>
      </c>
      <c r="J938" t="s">
        <v>57</v>
      </c>
      <c r="K938" t="s">
        <v>215</v>
      </c>
      <c r="L938" t="s">
        <v>1968</v>
      </c>
      <c r="M938">
        <v>3500</v>
      </c>
      <c r="N938">
        <v>229</v>
      </c>
      <c r="O938">
        <v>5027005</v>
      </c>
      <c r="P938">
        <v>4921</v>
      </c>
      <c r="Q938" t="s">
        <v>94</v>
      </c>
      <c r="R938">
        <v>2351.1999999999998</v>
      </c>
      <c r="S938">
        <v>2351.1999999999998</v>
      </c>
      <c r="T938">
        <v>0</v>
      </c>
      <c r="U938" t="s">
        <v>34</v>
      </c>
    </row>
    <row r="939" spans="1:26" x14ac:dyDescent="0.25">
      <c r="A939">
        <f t="shared" ca="1" si="72"/>
        <v>0</v>
      </c>
      <c r="C939">
        <f t="shared" ca="1" si="73"/>
        <v>0</v>
      </c>
      <c r="D939" t="s">
        <v>203</v>
      </c>
      <c r="E939" t="s">
        <v>58</v>
      </c>
      <c r="F939">
        <v>54</v>
      </c>
      <c r="G939" t="s">
        <v>1038</v>
      </c>
      <c r="H939" t="s">
        <v>1969</v>
      </c>
      <c r="I939" t="s">
        <v>44</v>
      </c>
      <c r="J939" t="s">
        <v>203</v>
      </c>
      <c r="K939" t="s">
        <v>61</v>
      </c>
      <c r="L939" t="s">
        <v>1970</v>
      </c>
      <c r="M939">
        <v>3000</v>
      </c>
      <c r="N939">
        <v>230</v>
      </c>
      <c r="O939">
        <v>5017083</v>
      </c>
      <c r="P939">
        <v>7431</v>
      </c>
      <c r="Q939" t="s">
        <v>121</v>
      </c>
      <c r="R939">
        <v>1925</v>
      </c>
      <c r="S939">
        <v>1925</v>
      </c>
      <c r="T939">
        <v>0</v>
      </c>
      <c r="U939" t="s">
        <v>34</v>
      </c>
    </row>
    <row r="940" spans="1:26" x14ac:dyDescent="0.25">
      <c r="A940">
        <f t="shared" ca="1" si="72"/>
        <v>0</v>
      </c>
      <c r="C940">
        <f t="shared" ca="1" si="73"/>
        <v>0</v>
      </c>
      <c r="D940" t="s">
        <v>203</v>
      </c>
      <c r="E940" t="s">
        <v>58</v>
      </c>
      <c r="F940">
        <v>192</v>
      </c>
      <c r="G940" t="s">
        <v>426</v>
      </c>
      <c r="H940" t="s">
        <v>1971</v>
      </c>
      <c r="I940" t="s">
        <v>44</v>
      </c>
      <c r="J940" t="s">
        <v>203</v>
      </c>
      <c r="K940" t="s">
        <v>215</v>
      </c>
      <c r="L940" t="s">
        <v>1972</v>
      </c>
      <c r="M940">
        <v>3000</v>
      </c>
      <c r="N940">
        <v>231</v>
      </c>
      <c r="P940">
        <v>1560</v>
      </c>
      <c r="Q940" t="s">
        <v>1973</v>
      </c>
      <c r="R940">
        <v>2385.3200000000002</v>
      </c>
      <c r="S940">
        <v>2385.3200000000002</v>
      </c>
      <c r="T940">
        <v>0</v>
      </c>
      <c r="X940" t="s">
        <v>1974</v>
      </c>
    </row>
    <row r="941" spans="1:26" x14ac:dyDescent="0.25">
      <c r="A941">
        <f t="shared" ca="1" si="72"/>
        <v>0</v>
      </c>
      <c r="C941">
        <f t="shared" ca="1" si="73"/>
        <v>0</v>
      </c>
      <c r="D941" t="s">
        <v>41</v>
      </c>
      <c r="E941" t="s">
        <v>58</v>
      </c>
      <c r="F941">
        <v>444</v>
      </c>
      <c r="G941" t="s">
        <v>59</v>
      </c>
      <c r="H941" t="s">
        <v>1975</v>
      </c>
      <c r="I941" t="s">
        <v>44</v>
      </c>
      <c r="J941" t="s">
        <v>41</v>
      </c>
      <c r="K941" t="s">
        <v>61</v>
      </c>
      <c r="L941" t="s">
        <v>728</v>
      </c>
      <c r="M941">
        <v>3000</v>
      </c>
      <c r="N941">
        <v>232</v>
      </c>
      <c r="O941">
        <v>5010832</v>
      </c>
      <c r="P941">
        <v>25204</v>
      </c>
      <c r="Q941" t="s">
        <v>46</v>
      </c>
      <c r="R941">
        <v>2874.38</v>
      </c>
      <c r="S941">
        <v>2874.38</v>
      </c>
      <c r="T941">
        <v>0</v>
      </c>
      <c r="U941" t="s">
        <v>34</v>
      </c>
      <c r="V941" s="1">
        <v>46116</v>
      </c>
      <c r="W941" s="1">
        <v>46142</v>
      </c>
    </row>
    <row r="942" spans="1:26" x14ac:dyDescent="0.25">
      <c r="A942">
        <f t="shared" ca="1" si="72"/>
        <v>0</v>
      </c>
      <c r="C942">
        <f t="shared" ca="1" si="73"/>
        <v>0</v>
      </c>
      <c r="D942" t="s">
        <v>41</v>
      </c>
      <c r="E942" t="s">
        <v>58</v>
      </c>
      <c r="F942">
        <v>736</v>
      </c>
      <c r="G942" t="s">
        <v>602</v>
      </c>
      <c r="H942" t="s">
        <v>1976</v>
      </c>
      <c r="I942" t="s">
        <v>44</v>
      </c>
      <c r="J942" t="s">
        <v>41</v>
      </c>
      <c r="K942" t="s">
        <v>61</v>
      </c>
      <c r="L942" t="s">
        <v>1977</v>
      </c>
      <c r="M942">
        <v>3000</v>
      </c>
      <c r="N942">
        <v>233</v>
      </c>
      <c r="O942">
        <v>5010835</v>
      </c>
      <c r="P942">
        <v>25204</v>
      </c>
      <c r="Q942" t="s">
        <v>46</v>
      </c>
      <c r="R942">
        <v>3151.68</v>
      </c>
      <c r="S942">
        <v>3151.68</v>
      </c>
      <c r="T942">
        <v>0</v>
      </c>
      <c r="U942" t="s">
        <v>34</v>
      </c>
      <c r="V942" s="1">
        <v>46122</v>
      </c>
      <c r="W942" s="1">
        <v>46142</v>
      </c>
    </row>
    <row r="943" spans="1:26" x14ac:dyDescent="0.25">
      <c r="A943">
        <f t="shared" ca="1" si="72"/>
        <v>0</v>
      </c>
      <c r="C943">
        <f t="shared" ca="1" si="73"/>
        <v>0</v>
      </c>
      <c r="D943" t="s">
        <v>203</v>
      </c>
      <c r="E943" t="s">
        <v>58</v>
      </c>
      <c r="F943">
        <v>601</v>
      </c>
      <c r="G943" t="s">
        <v>897</v>
      </c>
      <c r="H943" t="s">
        <v>1978</v>
      </c>
      <c r="I943" t="s">
        <v>44</v>
      </c>
      <c r="J943" t="s">
        <v>203</v>
      </c>
      <c r="K943" t="s">
        <v>61</v>
      </c>
      <c r="L943" t="s">
        <v>1979</v>
      </c>
      <c r="M943">
        <v>3000</v>
      </c>
      <c r="N943">
        <v>234</v>
      </c>
      <c r="O943">
        <v>5010844</v>
      </c>
      <c r="P943">
        <v>1168</v>
      </c>
      <c r="Q943" t="s">
        <v>1160</v>
      </c>
      <c r="R943">
        <v>2233.0500000000002</v>
      </c>
      <c r="S943">
        <v>2233.0500000000002</v>
      </c>
      <c r="T943">
        <v>0</v>
      </c>
      <c r="U943" t="s">
        <v>34</v>
      </c>
      <c r="V943" s="1">
        <v>46090</v>
      </c>
      <c r="W943" s="1">
        <v>46090</v>
      </c>
      <c r="X943" t="s">
        <v>1302</v>
      </c>
    </row>
    <row r="944" spans="1:26" x14ac:dyDescent="0.25">
      <c r="A944">
        <f t="shared" ca="1" si="72"/>
        <v>0</v>
      </c>
      <c r="C944">
        <f t="shared" ca="1" si="73"/>
        <v>0</v>
      </c>
      <c r="D944" t="s">
        <v>95</v>
      </c>
      <c r="E944" t="s">
        <v>58</v>
      </c>
      <c r="F944">
        <v>66</v>
      </c>
      <c r="G944" t="s">
        <v>464</v>
      </c>
      <c r="H944" t="s">
        <v>1586</v>
      </c>
      <c r="I944" t="s">
        <v>30</v>
      </c>
      <c r="J944" t="s">
        <v>95</v>
      </c>
      <c r="K944" t="s">
        <v>61</v>
      </c>
      <c r="L944" t="s">
        <v>1980</v>
      </c>
      <c r="M944">
        <v>13000</v>
      </c>
      <c r="N944">
        <v>235</v>
      </c>
      <c r="O944">
        <v>5036061</v>
      </c>
      <c r="P944">
        <v>6168</v>
      </c>
      <c r="Q944" t="s">
        <v>1063</v>
      </c>
      <c r="R944">
        <v>2915</v>
      </c>
      <c r="S944">
        <v>2915</v>
      </c>
      <c r="T944">
        <v>0</v>
      </c>
      <c r="U944" t="s">
        <v>34</v>
      </c>
      <c r="V944" s="1">
        <v>46114</v>
      </c>
      <c r="W944" s="1">
        <v>46115</v>
      </c>
    </row>
    <row r="945" spans="1:26" x14ac:dyDescent="0.25">
      <c r="A945">
        <f t="shared" ca="1" si="72"/>
        <v>0</v>
      </c>
      <c r="C945">
        <f t="shared" ca="1" si="73"/>
        <v>0</v>
      </c>
      <c r="D945" t="s">
        <v>74</v>
      </c>
      <c r="E945" t="s">
        <v>58</v>
      </c>
      <c r="F945">
        <v>133</v>
      </c>
      <c r="G945" t="s">
        <v>426</v>
      </c>
      <c r="H945" t="s">
        <v>1600</v>
      </c>
      <c r="I945" t="s">
        <v>30</v>
      </c>
      <c r="J945" t="s">
        <v>74</v>
      </c>
      <c r="K945" t="s">
        <v>215</v>
      </c>
      <c r="L945" t="s">
        <v>1981</v>
      </c>
      <c r="M945">
        <v>11000</v>
      </c>
      <c r="N945">
        <v>238</v>
      </c>
      <c r="O945">
        <v>5042382</v>
      </c>
      <c r="P945">
        <v>4921</v>
      </c>
      <c r="Q945" t="s">
        <v>94</v>
      </c>
      <c r="R945">
        <v>12641.43</v>
      </c>
      <c r="S945">
        <v>12641.43</v>
      </c>
      <c r="T945">
        <v>0</v>
      </c>
      <c r="U945" t="s">
        <v>34</v>
      </c>
      <c r="V945" s="1">
        <v>46135</v>
      </c>
      <c r="W945" s="1">
        <v>46141</v>
      </c>
      <c r="X945" t="s">
        <v>1982</v>
      </c>
      <c r="Y945" t="s">
        <v>47</v>
      </c>
      <c r="Z945" s="1">
        <v>46126</v>
      </c>
    </row>
    <row r="946" spans="1:26" x14ac:dyDescent="0.25">
      <c r="A946">
        <f t="shared" ca="1" si="72"/>
        <v>0</v>
      </c>
      <c r="C946">
        <f t="shared" ca="1" si="73"/>
        <v>0</v>
      </c>
      <c r="D946" t="s">
        <v>26</v>
      </c>
      <c r="E946" t="s">
        <v>58</v>
      </c>
      <c r="F946">
        <v>133</v>
      </c>
      <c r="G946" t="s">
        <v>426</v>
      </c>
      <c r="H946" t="s">
        <v>436</v>
      </c>
      <c r="I946" t="s">
        <v>30</v>
      </c>
      <c r="J946" t="s">
        <v>26</v>
      </c>
      <c r="K946" t="s">
        <v>215</v>
      </c>
      <c r="L946" t="s">
        <v>1983</v>
      </c>
      <c r="M946">
        <v>5500</v>
      </c>
      <c r="N946">
        <v>240</v>
      </c>
      <c r="O946">
        <v>5027086</v>
      </c>
      <c r="P946">
        <v>5197</v>
      </c>
      <c r="Q946" t="s">
        <v>132</v>
      </c>
      <c r="R946">
        <v>5830</v>
      </c>
      <c r="S946">
        <v>5830</v>
      </c>
      <c r="T946">
        <v>0</v>
      </c>
      <c r="U946" t="s">
        <v>34</v>
      </c>
      <c r="V946" s="1">
        <v>46125</v>
      </c>
      <c r="W946" s="1">
        <v>46136</v>
      </c>
      <c r="X946" t="s">
        <v>1984</v>
      </c>
      <c r="Y946" t="s">
        <v>47</v>
      </c>
      <c r="Z946" s="1">
        <v>46093</v>
      </c>
    </row>
    <row r="947" spans="1:26" x14ac:dyDescent="0.25">
      <c r="A947">
        <f t="shared" ca="1" si="72"/>
        <v>0</v>
      </c>
      <c r="C947">
        <f t="shared" ca="1" si="73"/>
        <v>0</v>
      </c>
      <c r="D947" t="s">
        <v>26</v>
      </c>
      <c r="E947" t="s">
        <v>58</v>
      </c>
      <c r="F947">
        <v>133</v>
      </c>
      <c r="G947" t="s">
        <v>426</v>
      </c>
      <c r="H947" t="s">
        <v>436</v>
      </c>
      <c r="I947" t="s">
        <v>30</v>
      </c>
      <c r="J947" t="s">
        <v>26</v>
      </c>
      <c r="K947" t="s">
        <v>215</v>
      </c>
      <c r="L947" t="s">
        <v>1985</v>
      </c>
      <c r="M947">
        <v>13000</v>
      </c>
      <c r="N947">
        <v>241</v>
      </c>
      <c r="O947">
        <v>5030285</v>
      </c>
      <c r="P947">
        <v>81</v>
      </c>
      <c r="Q947" t="s">
        <v>102</v>
      </c>
      <c r="R947">
        <v>11561.56</v>
      </c>
      <c r="T947">
        <v>11561.56</v>
      </c>
      <c r="U947" t="s">
        <v>107</v>
      </c>
      <c r="V947" s="1">
        <v>46307</v>
      </c>
      <c r="W947" s="1">
        <v>46339</v>
      </c>
      <c r="X947" t="s">
        <v>1986</v>
      </c>
    </row>
    <row r="948" spans="1:26" x14ac:dyDescent="0.25">
      <c r="A948" t="s">
        <v>1987</v>
      </c>
    </row>
    <row r="949" spans="1:26" x14ac:dyDescent="0.25">
      <c r="A949">
        <f t="shared" ref="A949:A991" ca="1" si="74">+ Cmde</f>
        <v>0</v>
      </c>
      <c r="C949">
        <f t="shared" ref="C949:C991" ca="1" si="75">+ Devis</f>
        <v>0</v>
      </c>
      <c r="D949" t="s">
        <v>95</v>
      </c>
      <c r="E949" t="s">
        <v>58</v>
      </c>
      <c r="F949">
        <v>156</v>
      </c>
      <c r="G949" t="s">
        <v>426</v>
      </c>
      <c r="H949" t="s">
        <v>1988</v>
      </c>
      <c r="I949" t="s">
        <v>30</v>
      </c>
      <c r="J949" t="s">
        <v>95</v>
      </c>
      <c r="K949" t="s">
        <v>215</v>
      </c>
      <c r="L949" t="s">
        <v>1989</v>
      </c>
      <c r="M949">
        <v>6000</v>
      </c>
      <c r="N949">
        <v>242</v>
      </c>
      <c r="O949">
        <v>5018574</v>
      </c>
      <c r="P949">
        <v>153</v>
      </c>
      <c r="Q949" t="s">
        <v>98</v>
      </c>
      <c r="R949">
        <v>1124.05</v>
      </c>
      <c r="S949">
        <v>1124.05</v>
      </c>
      <c r="T949">
        <v>0</v>
      </c>
      <c r="U949" t="s">
        <v>34</v>
      </c>
      <c r="V949" s="1">
        <v>46062</v>
      </c>
      <c r="W949" s="1">
        <v>46080</v>
      </c>
      <c r="X949" t="s">
        <v>1990</v>
      </c>
      <c r="Y949" t="s">
        <v>47</v>
      </c>
      <c r="Z949" s="1">
        <v>46049</v>
      </c>
    </row>
    <row r="950" spans="1:26" x14ac:dyDescent="0.25">
      <c r="A950">
        <f t="shared" ca="1" si="74"/>
        <v>0</v>
      </c>
      <c r="C950">
        <f t="shared" ca="1" si="75"/>
        <v>0</v>
      </c>
      <c r="D950" t="s">
        <v>35</v>
      </c>
      <c r="E950" t="s">
        <v>58</v>
      </c>
      <c r="F950">
        <v>165</v>
      </c>
      <c r="G950" t="s">
        <v>59</v>
      </c>
      <c r="H950" t="s">
        <v>1991</v>
      </c>
      <c r="I950" t="s">
        <v>30</v>
      </c>
      <c r="J950" t="s">
        <v>35</v>
      </c>
      <c r="K950" t="s">
        <v>61</v>
      </c>
      <c r="L950" t="s">
        <v>1992</v>
      </c>
      <c r="M950">
        <v>5000</v>
      </c>
      <c r="N950">
        <v>243</v>
      </c>
      <c r="X950" t="s">
        <v>1993</v>
      </c>
    </row>
    <row r="951" spans="1:26" x14ac:dyDescent="0.25">
      <c r="A951">
        <f t="shared" ca="1" si="74"/>
        <v>0</v>
      </c>
      <c r="C951">
        <f t="shared" ca="1" si="75"/>
        <v>0</v>
      </c>
      <c r="D951" t="s">
        <v>95</v>
      </c>
      <c r="E951" t="s">
        <v>58</v>
      </c>
      <c r="F951">
        <v>177</v>
      </c>
      <c r="G951" t="s">
        <v>224</v>
      </c>
      <c r="H951" t="s">
        <v>1994</v>
      </c>
      <c r="I951" t="s">
        <v>30</v>
      </c>
      <c r="J951" t="s">
        <v>95</v>
      </c>
      <c r="K951" t="s">
        <v>61</v>
      </c>
      <c r="L951" t="s">
        <v>1995</v>
      </c>
      <c r="M951">
        <v>5000</v>
      </c>
      <c r="N951">
        <v>244</v>
      </c>
      <c r="P951">
        <v>7893</v>
      </c>
      <c r="Q951" t="s">
        <v>1996</v>
      </c>
      <c r="R951">
        <v>9307.08</v>
      </c>
      <c r="S951">
        <v>9307.08</v>
      </c>
      <c r="T951">
        <v>0</v>
      </c>
      <c r="U951" t="s">
        <v>34</v>
      </c>
    </row>
    <row r="952" spans="1:26" x14ac:dyDescent="0.25">
      <c r="A952">
        <f t="shared" ca="1" si="74"/>
        <v>0</v>
      </c>
      <c r="C952">
        <f t="shared" ca="1" si="75"/>
        <v>0</v>
      </c>
      <c r="D952" t="s">
        <v>95</v>
      </c>
      <c r="E952" t="s">
        <v>58</v>
      </c>
      <c r="F952">
        <v>222</v>
      </c>
      <c r="G952" t="s">
        <v>224</v>
      </c>
      <c r="H952" t="s">
        <v>1997</v>
      </c>
      <c r="I952" t="s">
        <v>30</v>
      </c>
      <c r="J952" t="s">
        <v>95</v>
      </c>
      <c r="K952" t="s">
        <v>61</v>
      </c>
      <c r="L952" t="s">
        <v>1998</v>
      </c>
      <c r="M952">
        <v>30000</v>
      </c>
      <c r="N952">
        <v>245</v>
      </c>
      <c r="O952">
        <v>5036771</v>
      </c>
      <c r="P952">
        <v>24265</v>
      </c>
      <c r="Q952" t="s">
        <v>328</v>
      </c>
      <c r="R952">
        <v>21743.1</v>
      </c>
      <c r="S952">
        <v>19766.45</v>
      </c>
      <c r="T952">
        <v>1976.65</v>
      </c>
      <c r="U952" t="s">
        <v>40</v>
      </c>
      <c r="V952" s="1">
        <v>46122</v>
      </c>
      <c r="W952" s="1">
        <v>46173</v>
      </c>
      <c r="Y952" t="s">
        <v>104</v>
      </c>
      <c r="Z952" s="1">
        <v>46107</v>
      </c>
    </row>
    <row r="953" spans="1:26" x14ac:dyDescent="0.25">
      <c r="A953">
        <f t="shared" ca="1" si="74"/>
        <v>0</v>
      </c>
      <c r="C953">
        <f t="shared" ca="1" si="75"/>
        <v>0</v>
      </c>
      <c r="D953" t="s">
        <v>26</v>
      </c>
      <c r="E953" t="s">
        <v>58</v>
      </c>
      <c r="F953">
        <v>222</v>
      </c>
      <c r="G953" t="s">
        <v>224</v>
      </c>
      <c r="H953" t="s">
        <v>1228</v>
      </c>
      <c r="I953" t="s">
        <v>30</v>
      </c>
      <c r="J953" t="s">
        <v>26</v>
      </c>
      <c r="K953" t="s">
        <v>61</v>
      </c>
      <c r="L953" t="s">
        <v>1999</v>
      </c>
      <c r="M953">
        <v>15000</v>
      </c>
      <c r="N953">
        <v>246</v>
      </c>
      <c r="O953">
        <v>5013276</v>
      </c>
      <c r="P953">
        <v>81</v>
      </c>
      <c r="Q953" t="s">
        <v>102</v>
      </c>
      <c r="Y953" t="s">
        <v>104</v>
      </c>
      <c r="Z953" s="1">
        <v>46121</v>
      </c>
    </row>
    <row r="954" spans="1:26" x14ac:dyDescent="0.25">
      <c r="A954">
        <f t="shared" ca="1" si="74"/>
        <v>0</v>
      </c>
      <c r="C954">
        <f t="shared" ca="1" si="75"/>
        <v>0</v>
      </c>
      <c r="D954" t="s">
        <v>88</v>
      </c>
      <c r="E954" t="s">
        <v>58</v>
      </c>
      <c r="F954">
        <v>337</v>
      </c>
      <c r="G954" t="s">
        <v>293</v>
      </c>
      <c r="H954" t="s">
        <v>1390</v>
      </c>
      <c r="I954" t="s">
        <v>30</v>
      </c>
      <c r="J954" t="s">
        <v>88</v>
      </c>
      <c r="K954" t="s">
        <v>61</v>
      </c>
      <c r="L954" t="s">
        <v>2000</v>
      </c>
      <c r="M954">
        <v>75000</v>
      </c>
      <c r="N954">
        <v>248</v>
      </c>
      <c r="O954">
        <v>5035869</v>
      </c>
      <c r="P954">
        <v>4146</v>
      </c>
      <c r="Q954" t="s">
        <v>91</v>
      </c>
      <c r="R954">
        <v>68890.36</v>
      </c>
      <c r="S954">
        <v>68890.36</v>
      </c>
      <c r="T954">
        <v>0</v>
      </c>
      <c r="U954" t="s">
        <v>34</v>
      </c>
      <c r="V954" s="1">
        <v>46107</v>
      </c>
      <c r="W954" s="1">
        <v>46157</v>
      </c>
      <c r="X954" t="s">
        <v>593</v>
      </c>
    </row>
    <row r="955" spans="1:26" x14ac:dyDescent="0.25">
      <c r="A955">
        <f t="shared" ca="1" si="74"/>
        <v>0</v>
      </c>
      <c r="C955">
        <f t="shared" ca="1" si="75"/>
        <v>0</v>
      </c>
      <c r="D955" t="s">
        <v>26</v>
      </c>
      <c r="E955" t="s">
        <v>58</v>
      </c>
      <c r="F955">
        <v>474</v>
      </c>
      <c r="G955" t="s">
        <v>293</v>
      </c>
      <c r="H955" t="s">
        <v>2001</v>
      </c>
      <c r="I955" t="s">
        <v>30</v>
      </c>
      <c r="J955" t="s">
        <v>26</v>
      </c>
      <c r="K955" t="s">
        <v>61</v>
      </c>
      <c r="L955" t="s">
        <v>2002</v>
      </c>
      <c r="M955">
        <v>5000</v>
      </c>
      <c r="N955">
        <v>252</v>
      </c>
      <c r="O955">
        <v>5013267</v>
      </c>
      <c r="P955">
        <v>81</v>
      </c>
      <c r="Q955" t="s">
        <v>102</v>
      </c>
      <c r="R955">
        <v>8780.16</v>
      </c>
      <c r="S955">
        <v>8780.16</v>
      </c>
      <c r="T955">
        <v>0</v>
      </c>
      <c r="U955" t="s">
        <v>34</v>
      </c>
      <c r="X955" t="s">
        <v>1956</v>
      </c>
    </row>
    <row r="956" spans="1:26" x14ac:dyDescent="0.25">
      <c r="A956">
        <f t="shared" ca="1" si="74"/>
        <v>0</v>
      </c>
      <c r="C956">
        <f t="shared" ca="1" si="75"/>
        <v>0</v>
      </c>
      <c r="D956" t="s">
        <v>35</v>
      </c>
      <c r="E956" t="s">
        <v>58</v>
      </c>
      <c r="F956">
        <v>546</v>
      </c>
      <c r="G956" t="s">
        <v>59</v>
      </c>
      <c r="H956" t="s">
        <v>2003</v>
      </c>
      <c r="I956" t="s">
        <v>30</v>
      </c>
      <c r="J956" t="s">
        <v>35</v>
      </c>
      <c r="K956" t="s">
        <v>61</v>
      </c>
      <c r="L956" t="s">
        <v>2004</v>
      </c>
      <c r="M956">
        <v>5000</v>
      </c>
      <c r="N956">
        <v>253</v>
      </c>
      <c r="O956">
        <v>5035421</v>
      </c>
      <c r="P956">
        <v>483</v>
      </c>
      <c r="Q956" t="s">
        <v>162</v>
      </c>
      <c r="R956">
        <v>957.57</v>
      </c>
      <c r="T956">
        <v>957.57</v>
      </c>
      <c r="U956" t="s">
        <v>34</v>
      </c>
    </row>
    <row r="957" spans="1:26" x14ac:dyDescent="0.25">
      <c r="A957">
        <f t="shared" ca="1" si="74"/>
        <v>0</v>
      </c>
      <c r="C957">
        <f t="shared" ca="1" si="75"/>
        <v>0</v>
      </c>
      <c r="D957" t="s">
        <v>74</v>
      </c>
      <c r="E957" t="s">
        <v>58</v>
      </c>
      <c r="F957">
        <v>584</v>
      </c>
      <c r="G957" t="s">
        <v>897</v>
      </c>
      <c r="H957" t="s">
        <v>1697</v>
      </c>
      <c r="I957" t="s">
        <v>30</v>
      </c>
      <c r="J957" t="s">
        <v>74</v>
      </c>
      <c r="K957" t="s">
        <v>61</v>
      </c>
      <c r="L957" t="s">
        <v>2005</v>
      </c>
      <c r="M957">
        <v>60000</v>
      </c>
      <c r="N957">
        <v>254</v>
      </c>
      <c r="X957" t="s">
        <v>2006</v>
      </c>
    </row>
    <row r="958" spans="1:26" x14ac:dyDescent="0.25">
      <c r="A958">
        <f t="shared" ca="1" si="74"/>
        <v>0</v>
      </c>
      <c r="C958">
        <f t="shared" ca="1" si="75"/>
        <v>0</v>
      </c>
      <c r="D958" t="s">
        <v>26</v>
      </c>
      <c r="E958" t="s">
        <v>58</v>
      </c>
      <c r="F958">
        <v>616</v>
      </c>
      <c r="G958" t="s">
        <v>602</v>
      </c>
      <c r="H958" t="s">
        <v>2007</v>
      </c>
      <c r="I958" t="s">
        <v>30</v>
      </c>
      <c r="J958" t="s">
        <v>26</v>
      </c>
      <c r="K958" t="s">
        <v>61</v>
      </c>
      <c r="L958" t="s">
        <v>2008</v>
      </c>
      <c r="M958">
        <v>18000</v>
      </c>
      <c r="N958">
        <v>255</v>
      </c>
      <c r="O958">
        <v>5055277</v>
      </c>
      <c r="P958">
        <v>7668</v>
      </c>
      <c r="Q958" t="s">
        <v>1235</v>
      </c>
      <c r="R958">
        <v>23713.53</v>
      </c>
      <c r="S958">
        <v>23713.53</v>
      </c>
      <c r="T958">
        <v>0</v>
      </c>
      <c r="U958" t="s">
        <v>34</v>
      </c>
      <c r="V958" s="1">
        <v>46266</v>
      </c>
      <c r="W958" s="1">
        <v>46295</v>
      </c>
      <c r="X958" t="s">
        <v>593</v>
      </c>
    </row>
    <row r="959" spans="1:26" x14ac:dyDescent="0.25">
      <c r="A959">
        <f t="shared" ca="1" si="74"/>
        <v>0</v>
      </c>
      <c r="C959">
        <f t="shared" ca="1" si="75"/>
        <v>0</v>
      </c>
      <c r="D959" t="s">
        <v>95</v>
      </c>
      <c r="E959" t="s">
        <v>58</v>
      </c>
      <c r="F959">
        <v>697</v>
      </c>
      <c r="G959" t="s">
        <v>59</v>
      </c>
      <c r="H959" t="s">
        <v>2009</v>
      </c>
      <c r="I959" t="s">
        <v>30</v>
      </c>
      <c r="J959" t="s">
        <v>95</v>
      </c>
      <c r="K959" t="s">
        <v>61</v>
      </c>
      <c r="L959" t="s">
        <v>2010</v>
      </c>
      <c r="M959">
        <v>5000</v>
      </c>
      <c r="N959">
        <v>256</v>
      </c>
      <c r="O959">
        <v>5010856</v>
      </c>
      <c r="P959">
        <v>153</v>
      </c>
      <c r="Q959" t="s">
        <v>98</v>
      </c>
      <c r="R959">
        <v>3936.5</v>
      </c>
      <c r="S959">
        <v>3936.5</v>
      </c>
      <c r="T959">
        <v>0</v>
      </c>
      <c r="U959" t="s">
        <v>34</v>
      </c>
      <c r="X959" t="s">
        <v>593</v>
      </c>
    </row>
    <row r="960" spans="1:26" x14ac:dyDescent="0.25">
      <c r="A960">
        <f t="shared" ca="1" si="74"/>
        <v>0</v>
      </c>
      <c r="C960">
        <f t="shared" ca="1" si="75"/>
        <v>0</v>
      </c>
      <c r="D960" t="s">
        <v>48</v>
      </c>
      <c r="E960" t="s">
        <v>58</v>
      </c>
      <c r="F960">
        <v>880</v>
      </c>
      <c r="G960" t="s">
        <v>602</v>
      </c>
      <c r="H960" t="s">
        <v>2011</v>
      </c>
      <c r="I960" t="s">
        <v>30</v>
      </c>
      <c r="J960" t="s">
        <v>48</v>
      </c>
      <c r="K960" t="s">
        <v>61</v>
      </c>
      <c r="L960" t="s">
        <v>2012</v>
      </c>
      <c r="M960">
        <v>10000</v>
      </c>
      <c r="N960">
        <v>258</v>
      </c>
      <c r="O960">
        <v>5028502</v>
      </c>
      <c r="P960">
        <v>505</v>
      </c>
      <c r="Q960" t="s">
        <v>438</v>
      </c>
      <c r="R960">
        <v>4474.8</v>
      </c>
      <c r="S960">
        <v>4474.8</v>
      </c>
      <c r="T960">
        <v>0</v>
      </c>
      <c r="U960" t="s">
        <v>34</v>
      </c>
      <c r="V960" s="1">
        <v>46119</v>
      </c>
      <c r="W960" s="1">
        <v>46142</v>
      </c>
      <c r="X960" t="s">
        <v>296</v>
      </c>
    </row>
    <row r="961" spans="1:26" x14ac:dyDescent="0.25">
      <c r="A961">
        <f t="shared" ca="1" si="74"/>
        <v>0</v>
      </c>
      <c r="C961">
        <f t="shared" ca="1" si="75"/>
        <v>0</v>
      </c>
      <c r="D961" t="s">
        <v>74</v>
      </c>
      <c r="E961" t="s">
        <v>58</v>
      </c>
      <c r="F961">
        <v>835</v>
      </c>
      <c r="G961" t="s">
        <v>224</v>
      </c>
      <c r="H961" t="s">
        <v>622</v>
      </c>
      <c r="I961" t="s">
        <v>30</v>
      </c>
      <c r="J961" t="s">
        <v>74</v>
      </c>
      <c r="K961" t="s">
        <v>61</v>
      </c>
      <c r="L961" t="s">
        <v>2000</v>
      </c>
      <c r="M961">
        <v>18000</v>
      </c>
      <c r="N961">
        <v>259</v>
      </c>
      <c r="O961">
        <v>5013363</v>
      </c>
      <c r="P961">
        <v>4921</v>
      </c>
      <c r="Q961" t="s">
        <v>94</v>
      </c>
      <c r="R961">
        <v>7457.05</v>
      </c>
      <c r="S961">
        <v>7457.05</v>
      </c>
      <c r="T961">
        <v>0</v>
      </c>
      <c r="U961" t="s">
        <v>34</v>
      </c>
      <c r="X961" t="s">
        <v>1890</v>
      </c>
      <c r="Y961" t="s">
        <v>104</v>
      </c>
      <c r="Z961" s="1">
        <v>46097</v>
      </c>
    </row>
    <row r="962" spans="1:26" x14ac:dyDescent="0.25">
      <c r="A962">
        <f t="shared" ca="1" si="74"/>
        <v>0</v>
      </c>
      <c r="C962">
        <f t="shared" ca="1" si="75"/>
        <v>0</v>
      </c>
      <c r="D962" t="s">
        <v>79</v>
      </c>
      <c r="E962" t="s">
        <v>58</v>
      </c>
      <c r="F962">
        <v>839</v>
      </c>
      <c r="G962" t="s">
        <v>464</v>
      </c>
      <c r="H962" t="s">
        <v>2013</v>
      </c>
      <c r="I962" t="s">
        <v>30</v>
      </c>
      <c r="J962" t="s">
        <v>79</v>
      </c>
      <c r="K962" t="s">
        <v>61</v>
      </c>
      <c r="L962" t="s">
        <v>2014</v>
      </c>
      <c r="M962">
        <v>7000</v>
      </c>
      <c r="N962">
        <v>260</v>
      </c>
      <c r="O962">
        <v>5001228</v>
      </c>
      <c r="P962">
        <v>8898</v>
      </c>
      <c r="Q962" t="s">
        <v>1847</v>
      </c>
      <c r="R962">
        <v>0</v>
      </c>
      <c r="T962">
        <v>0</v>
      </c>
      <c r="U962" t="s">
        <v>34</v>
      </c>
    </row>
    <row r="963" spans="1:26" x14ac:dyDescent="0.25">
      <c r="A963">
        <f t="shared" ca="1" si="74"/>
        <v>0</v>
      </c>
      <c r="C963">
        <f t="shared" ca="1" si="75"/>
        <v>0</v>
      </c>
      <c r="D963" t="s">
        <v>48</v>
      </c>
      <c r="E963" t="s">
        <v>58</v>
      </c>
      <c r="F963">
        <v>934</v>
      </c>
      <c r="G963" t="s">
        <v>293</v>
      </c>
      <c r="H963" t="s">
        <v>2015</v>
      </c>
      <c r="I963" t="s">
        <v>30</v>
      </c>
      <c r="J963" t="s">
        <v>48</v>
      </c>
      <c r="K963" t="s">
        <v>61</v>
      </c>
      <c r="L963" t="s">
        <v>2016</v>
      </c>
      <c r="M963">
        <v>25000</v>
      </c>
      <c r="N963">
        <v>261</v>
      </c>
      <c r="X963" t="s">
        <v>212</v>
      </c>
    </row>
    <row r="964" spans="1:26" x14ac:dyDescent="0.25">
      <c r="A964">
        <f t="shared" ca="1" si="74"/>
        <v>0</v>
      </c>
      <c r="C964">
        <f t="shared" ca="1" si="75"/>
        <v>0</v>
      </c>
      <c r="D964" t="s">
        <v>74</v>
      </c>
      <c r="E964" t="s">
        <v>58</v>
      </c>
      <c r="F964">
        <v>934</v>
      </c>
      <c r="G964" t="s">
        <v>293</v>
      </c>
      <c r="H964" t="s">
        <v>2015</v>
      </c>
      <c r="I964" t="s">
        <v>30</v>
      </c>
      <c r="J964" t="s">
        <v>74</v>
      </c>
      <c r="K964" t="s">
        <v>61</v>
      </c>
      <c r="L964" t="s">
        <v>2017</v>
      </c>
      <c r="M964">
        <v>32000</v>
      </c>
      <c r="N964">
        <v>262</v>
      </c>
      <c r="O964">
        <v>5072674</v>
      </c>
      <c r="P964">
        <v>533</v>
      </c>
      <c r="Q964" t="s">
        <v>954</v>
      </c>
      <c r="R964">
        <v>31258.99</v>
      </c>
      <c r="S964">
        <v>31258.99</v>
      </c>
      <c r="T964">
        <v>0</v>
      </c>
      <c r="U964" t="s">
        <v>34</v>
      </c>
    </row>
    <row r="965" spans="1:26" x14ac:dyDescent="0.25">
      <c r="A965">
        <f t="shared" ca="1" si="74"/>
        <v>0</v>
      </c>
      <c r="C965">
        <f t="shared" ca="1" si="75"/>
        <v>0</v>
      </c>
      <c r="D965" t="s">
        <v>74</v>
      </c>
      <c r="E965" t="s">
        <v>58</v>
      </c>
      <c r="F965">
        <v>1411</v>
      </c>
      <c r="G965" t="s">
        <v>747</v>
      </c>
      <c r="H965" t="s">
        <v>1249</v>
      </c>
      <c r="I965" t="s">
        <v>30</v>
      </c>
      <c r="J965" t="s">
        <v>74</v>
      </c>
      <c r="K965" t="s">
        <v>61</v>
      </c>
      <c r="L965" t="s">
        <v>2018</v>
      </c>
      <c r="M965">
        <v>35000</v>
      </c>
      <c r="N965">
        <v>263</v>
      </c>
      <c r="O965">
        <v>5008840</v>
      </c>
      <c r="P965">
        <v>4921</v>
      </c>
      <c r="Q965" t="s">
        <v>94</v>
      </c>
      <c r="X965" t="s">
        <v>2019</v>
      </c>
    </row>
    <row r="966" spans="1:26" x14ac:dyDescent="0.25">
      <c r="A966">
        <f t="shared" ca="1" si="74"/>
        <v>0</v>
      </c>
      <c r="C966">
        <f t="shared" ca="1" si="75"/>
        <v>0</v>
      </c>
      <c r="D966" t="s">
        <v>74</v>
      </c>
      <c r="E966" t="s">
        <v>58</v>
      </c>
      <c r="F966">
        <v>1428</v>
      </c>
      <c r="G966" t="s">
        <v>747</v>
      </c>
      <c r="H966" t="s">
        <v>1206</v>
      </c>
      <c r="I966" t="s">
        <v>30</v>
      </c>
      <c r="J966" t="s">
        <v>74</v>
      </c>
      <c r="K966" t="s">
        <v>61</v>
      </c>
      <c r="L966" t="s">
        <v>2020</v>
      </c>
      <c r="M966">
        <v>78000</v>
      </c>
      <c r="N966">
        <v>264</v>
      </c>
      <c r="O966">
        <v>5034961</v>
      </c>
      <c r="P966">
        <v>39</v>
      </c>
      <c r="Q966" t="s">
        <v>779</v>
      </c>
      <c r="R966">
        <v>35442.660000000003</v>
      </c>
      <c r="S966">
        <v>35442.660000000003</v>
      </c>
      <c r="T966">
        <v>0</v>
      </c>
      <c r="U966" t="s">
        <v>34</v>
      </c>
      <c r="V966" s="1">
        <v>46090</v>
      </c>
      <c r="W966" s="1">
        <v>46123</v>
      </c>
      <c r="Y966" t="s">
        <v>676</v>
      </c>
      <c r="Z966" s="1">
        <v>46086</v>
      </c>
    </row>
    <row r="967" spans="1:26" x14ac:dyDescent="0.25">
      <c r="A967">
        <f t="shared" ca="1" si="74"/>
        <v>0</v>
      </c>
      <c r="C967">
        <f t="shared" ca="1" si="75"/>
        <v>0</v>
      </c>
      <c r="D967" t="s">
        <v>95</v>
      </c>
      <c r="E967" t="s">
        <v>58</v>
      </c>
      <c r="F967">
        <v>1072</v>
      </c>
      <c r="G967" t="s">
        <v>747</v>
      </c>
      <c r="H967" t="s">
        <v>2021</v>
      </c>
      <c r="I967" t="s">
        <v>30</v>
      </c>
      <c r="J967" t="s">
        <v>95</v>
      </c>
      <c r="K967" t="s">
        <v>61</v>
      </c>
      <c r="L967" t="s">
        <v>2022</v>
      </c>
      <c r="M967">
        <v>30000</v>
      </c>
      <c r="N967">
        <v>265</v>
      </c>
      <c r="X967" t="s">
        <v>175</v>
      </c>
    </row>
    <row r="968" spans="1:26" x14ac:dyDescent="0.25">
      <c r="A968">
        <f t="shared" ca="1" si="74"/>
        <v>0</v>
      </c>
      <c r="C968">
        <f t="shared" ca="1" si="75"/>
        <v>0</v>
      </c>
      <c r="D968" t="s">
        <v>95</v>
      </c>
      <c r="E968" t="s">
        <v>58</v>
      </c>
      <c r="F968">
        <v>1074</v>
      </c>
      <c r="G968" t="s">
        <v>747</v>
      </c>
      <c r="H968" t="s">
        <v>2023</v>
      </c>
      <c r="I968" t="s">
        <v>30</v>
      </c>
      <c r="J968" t="s">
        <v>95</v>
      </c>
      <c r="K968" t="s">
        <v>61</v>
      </c>
      <c r="L968" t="s">
        <v>2024</v>
      </c>
      <c r="M968">
        <v>25000</v>
      </c>
      <c r="N968">
        <v>266</v>
      </c>
      <c r="O968">
        <v>5036777</v>
      </c>
      <c r="P968">
        <v>14782</v>
      </c>
      <c r="Q968" t="s">
        <v>2025</v>
      </c>
      <c r="R968">
        <v>14827.39</v>
      </c>
      <c r="T968">
        <v>14827.39</v>
      </c>
      <c r="U968" t="s">
        <v>34</v>
      </c>
      <c r="V968" s="1">
        <v>46153</v>
      </c>
      <c r="W968" s="1">
        <v>46172</v>
      </c>
      <c r="Y968" t="s">
        <v>104</v>
      </c>
      <c r="Z968" s="1">
        <v>46140</v>
      </c>
    </row>
    <row r="969" spans="1:26" x14ac:dyDescent="0.25">
      <c r="A969">
        <f t="shared" ca="1" si="74"/>
        <v>0</v>
      </c>
      <c r="C969">
        <f t="shared" ca="1" si="75"/>
        <v>0</v>
      </c>
      <c r="D969" t="s">
        <v>26</v>
      </c>
      <c r="E969" t="s">
        <v>58</v>
      </c>
      <c r="F969">
        <v>1310</v>
      </c>
      <c r="G969" t="s">
        <v>59</v>
      </c>
      <c r="H969" t="s">
        <v>2026</v>
      </c>
      <c r="I969" t="s">
        <v>30</v>
      </c>
      <c r="J969" t="s">
        <v>26</v>
      </c>
      <c r="K969" t="s">
        <v>215</v>
      </c>
      <c r="L969" t="s">
        <v>1222</v>
      </c>
      <c r="M969">
        <v>5500</v>
      </c>
      <c r="N969">
        <v>267</v>
      </c>
      <c r="X969" t="s">
        <v>40</v>
      </c>
    </row>
    <row r="970" spans="1:26" x14ac:dyDescent="0.25">
      <c r="A970">
        <f t="shared" ca="1" si="74"/>
        <v>0</v>
      </c>
      <c r="C970">
        <f t="shared" ca="1" si="75"/>
        <v>0</v>
      </c>
      <c r="D970" t="s">
        <v>26</v>
      </c>
      <c r="E970" t="s">
        <v>58</v>
      </c>
      <c r="F970">
        <v>1311</v>
      </c>
      <c r="G970" t="s">
        <v>213</v>
      </c>
      <c r="H970" t="s">
        <v>2027</v>
      </c>
      <c r="I970" t="s">
        <v>30</v>
      </c>
      <c r="J970" t="s">
        <v>26</v>
      </c>
      <c r="K970" t="s">
        <v>215</v>
      </c>
      <c r="L970" t="s">
        <v>2028</v>
      </c>
      <c r="M970">
        <v>7000</v>
      </c>
      <c r="N970">
        <v>270</v>
      </c>
      <c r="O970">
        <v>5027076</v>
      </c>
      <c r="P970">
        <v>5197</v>
      </c>
      <c r="Q970" t="s">
        <v>132</v>
      </c>
      <c r="R970">
        <v>6985</v>
      </c>
      <c r="S970">
        <v>6985</v>
      </c>
      <c r="T970">
        <v>0</v>
      </c>
      <c r="U970" t="s">
        <v>34</v>
      </c>
      <c r="V970" s="1">
        <v>46132</v>
      </c>
      <c r="W970" s="1">
        <v>46136</v>
      </c>
      <c r="X970" t="s">
        <v>2029</v>
      </c>
      <c r="Y970" t="s">
        <v>47</v>
      </c>
      <c r="Z970" s="1">
        <v>46114</v>
      </c>
    </row>
    <row r="971" spans="1:26" x14ac:dyDescent="0.25">
      <c r="A971">
        <f t="shared" ca="1" si="74"/>
        <v>0</v>
      </c>
      <c r="C971">
        <f t="shared" ca="1" si="75"/>
        <v>0</v>
      </c>
      <c r="D971" t="s">
        <v>79</v>
      </c>
      <c r="E971" t="s">
        <v>58</v>
      </c>
      <c r="F971">
        <v>1321</v>
      </c>
      <c r="G971" t="s">
        <v>213</v>
      </c>
      <c r="H971" t="s">
        <v>2030</v>
      </c>
      <c r="I971" t="s">
        <v>30</v>
      </c>
      <c r="J971" t="s">
        <v>79</v>
      </c>
      <c r="K971" t="s">
        <v>215</v>
      </c>
      <c r="L971" t="s">
        <v>1597</v>
      </c>
      <c r="M971">
        <v>3500</v>
      </c>
      <c r="N971">
        <v>271</v>
      </c>
      <c r="X971" t="s">
        <v>1960</v>
      </c>
    </row>
    <row r="972" spans="1:26" x14ac:dyDescent="0.25">
      <c r="A972">
        <f t="shared" ca="1" si="74"/>
        <v>0</v>
      </c>
      <c r="C972">
        <f t="shared" ca="1" si="75"/>
        <v>0</v>
      </c>
      <c r="D972" t="s">
        <v>79</v>
      </c>
      <c r="E972" t="s">
        <v>58</v>
      </c>
      <c r="F972">
        <v>1464</v>
      </c>
      <c r="G972" t="s">
        <v>213</v>
      </c>
      <c r="H972" t="s">
        <v>1193</v>
      </c>
      <c r="I972" t="s">
        <v>30</v>
      </c>
      <c r="J972" t="s">
        <v>79</v>
      </c>
      <c r="K972" t="s">
        <v>215</v>
      </c>
      <c r="L972" t="s">
        <v>2031</v>
      </c>
      <c r="M972">
        <v>5000</v>
      </c>
      <c r="N972">
        <v>273</v>
      </c>
      <c r="O972">
        <v>5126180</v>
      </c>
      <c r="P972">
        <v>2391</v>
      </c>
      <c r="Q972" t="s">
        <v>314</v>
      </c>
      <c r="R972">
        <v>4084.44</v>
      </c>
      <c r="T972">
        <v>4084.44</v>
      </c>
      <c r="U972" t="s">
        <v>107</v>
      </c>
      <c r="V972" s="1">
        <v>46314</v>
      </c>
      <c r="W972" s="1">
        <v>46346</v>
      </c>
      <c r="X972" t="s">
        <v>1195</v>
      </c>
    </row>
    <row r="973" spans="1:26" x14ac:dyDescent="0.25">
      <c r="A973">
        <f t="shared" ca="1" si="74"/>
        <v>0</v>
      </c>
      <c r="C973">
        <f t="shared" ca="1" si="75"/>
        <v>0</v>
      </c>
      <c r="D973" t="s">
        <v>74</v>
      </c>
      <c r="E973" t="s">
        <v>58</v>
      </c>
      <c r="F973">
        <v>2058</v>
      </c>
      <c r="G973" t="s">
        <v>213</v>
      </c>
      <c r="H973" t="s">
        <v>1902</v>
      </c>
      <c r="I973" t="s">
        <v>30</v>
      </c>
      <c r="J973" t="s">
        <v>74</v>
      </c>
      <c r="K973" t="s">
        <v>215</v>
      </c>
      <c r="L973" t="s">
        <v>2032</v>
      </c>
      <c r="M973">
        <v>7900</v>
      </c>
      <c r="N973">
        <v>274</v>
      </c>
      <c r="O973">
        <v>5024997</v>
      </c>
      <c r="P973">
        <v>652</v>
      </c>
      <c r="Q973" t="s">
        <v>1555</v>
      </c>
      <c r="R973">
        <v>2068</v>
      </c>
      <c r="S973">
        <v>2068</v>
      </c>
      <c r="T973">
        <v>0</v>
      </c>
      <c r="U973" t="s">
        <v>34</v>
      </c>
      <c r="V973" s="1">
        <v>46083</v>
      </c>
      <c r="W973" s="1">
        <v>46115</v>
      </c>
      <c r="X973" t="s">
        <v>2033</v>
      </c>
    </row>
    <row r="974" spans="1:26" x14ac:dyDescent="0.25">
      <c r="A974">
        <f t="shared" ca="1" si="74"/>
        <v>0</v>
      </c>
      <c r="C974">
        <f t="shared" ca="1" si="75"/>
        <v>0</v>
      </c>
      <c r="D974" t="s">
        <v>355</v>
      </c>
      <c r="E974" t="s">
        <v>297</v>
      </c>
      <c r="F974">
        <v>2001</v>
      </c>
      <c r="G974" t="s">
        <v>372</v>
      </c>
      <c r="H974" t="s">
        <v>2034</v>
      </c>
      <c r="I974" t="s">
        <v>30</v>
      </c>
      <c r="J974" t="s">
        <v>355</v>
      </c>
      <c r="K974" t="s">
        <v>300</v>
      </c>
      <c r="L974" t="s">
        <v>2035</v>
      </c>
      <c r="M974">
        <v>3000</v>
      </c>
      <c r="N974">
        <v>518</v>
      </c>
      <c r="O974">
        <v>5043800</v>
      </c>
      <c r="P974">
        <v>28284</v>
      </c>
      <c r="Q974" t="s">
        <v>362</v>
      </c>
      <c r="R974">
        <v>2574</v>
      </c>
      <c r="S974">
        <v>2574</v>
      </c>
      <c r="T974">
        <v>0</v>
      </c>
      <c r="U974" t="s">
        <v>34</v>
      </c>
      <c r="V974" s="1">
        <v>46090</v>
      </c>
      <c r="W974" s="1">
        <v>46091</v>
      </c>
    </row>
    <row r="975" spans="1:26" x14ac:dyDescent="0.25">
      <c r="A975">
        <f t="shared" ca="1" si="74"/>
        <v>0</v>
      </c>
      <c r="C975">
        <f t="shared" ca="1" si="75"/>
        <v>0</v>
      </c>
      <c r="D975" t="s">
        <v>95</v>
      </c>
      <c r="E975" t="s">
        <v>49</v>
      </c>
      <c r="F975">
        <v>890</v>
      </c>
      <c r="G975" t="s">
        <v>689</v>
      </c>
      <c r="H975" t="s">
        <v>2036</v>
      </c>
      <c r="I975" t="s">
        <v>30</v>
      </c>
      <c r="J975" t="s">
        <v>95</v>
      </c>
      <c r="K975" t="s">
        <v>52</v>
      </c>
      <c r="L975" t="s">
        <v>2037</v>
      </c>
      <c r="M975">
        <v>42000</v>
      </c>
      <c r="N975">
        <v>691</v>
      </c>
      <c r="O975">
        <v>5095887</v>
      </c>
      <c r="P975">
        <v>24265</v>
      </c>
      <c r="Q975" t="s">
        <v>328</v>
      </c>
      <c r="R975">
        <v>35937.07</v>
      </c>
      <c r="S975">
        <v>30930.67</v>
      </c>
      <c r="T975">
        <v>5006.3999999999996</v>
      </c>
      <c r="U975" t="s">
        <v>40</v>
      </c>
      <c r="V975" s="1">
        <v>46211</v>
      </c>
      <c r="W975" s="1">
        <v>46346</v>
      </c>
      <c r="X975" t="s">
        <v>2038</v>
      </c>
    </row>
    <row r="976" spans="1:26" x14ac:dyDescent="0.25">
      <c r="A976">
        <f t="shared" ca="1" si="74"/>
        <v>0</v>
      </c>
      <c r="C976">
        <f t="shared" ca="1" si="75"/>
        <v>0</v>
      </c>
      <c r="D976" t="s">
        <v>57</v>
      </c>
      <c r="E976" t="s">
        <v>49</v>
      </c>
      <c r="F976">
        <v>890</v>
      </c>
      <c r="G976" t="s">
        <v>689</v>
      </c>
      <c r="H976" t="s">
        <v>2036</v>
      </c>
      <c r="I976" t="s">
        <v>44</v>
      </c>
      <c r="J976" t="s">
        <v>57</v>
      </c>
      <c r="K976" t="s">
        <v>52</v>
      </c>
      <c r="L976" t="s">
        <v>2039</v>
      </c>
      <c r="M976">
        <v>5000</v>
      </c>
      <c r="N976">
        <v>672</v>
      </c>
      <c r="X976" t="s">
        <v>2040</v>
      </c>
    </row>
    <row r="977" spans="1:24" x14ac:dyDescent="0.25">
      <c r="A977">
        <f t="shared" ca="1" si="74"/>
        <v>0</v>
      </c>
      <c r="C977">
        <f t="shared" ca="1" si="75"/>
        <v>0</v>
      </c>
      <c r="D977" t="s">
        <v>41</v>
      </c>
      <c r="E977" t="s">
        <v>184</v>
      </c>
      <c r="F977">
        <v>1113</v>
      </c>
      <c r="G977" t="s">
        <v>192</v>
      </c>
      <c r="H977" t="s">
        <v>2041</v>
      </c>
      <c r="I977" t="s">
        <v>44</v>
      </c>
      <c r="J977" t="s">
        <v>41</v>
      </c>
      <c r="K977" t="s">
        <v>188</v>
      </c>
      <c r="L977" t="s">
        <v>2042</v>
      </c>
      <c r="M977">
        <v>12000</v>
      </c>
      <c r="N977">
        <v>455</v>
      </c>
      <c r="O977">
        <v>5043160</v>
      </c>
      <c r="P977">
        <v>4787</v>
      </c>
      <c r="Q977" t="s">
        <v>206</v>
      </c>
      <c r="R977">
        <v>14155.57</v>
      </c>
      <c r="T977">
        <v>14155.57</v>
      </c>
      <c r="U977" t="s">
        <v>107</v>
      </c>
      <c r="V977" s="1">
        <v>46286</v>
      </c>
      <c r="W977" s="1">
        <v>46293</v>
      </c>
    </row>
    <row r="978" spans="1:24" x14ac:dyDescent="0.25">
      <c r="A978">
        <f t="shared" ca="1" si="74"/>
        <v>0</v>
      </c>
      <c r="C978">
        <f t="shared" ca="1" si="75"/>
        <v>0</v>
      </c>
      <c r="D978" t="s">
        <v>41</v>
      </c>
      <c r="E978" t="s">
        <v>445</v>
      </c>
      <c r="F978">
        <v>1430</v>
      </c>
      <c r="G978" t="s">
        <v>508</v>
      </c>
      <c r="H978" t="s">
        <v>2043</v>
      </c>
      <c r="I978" t="s">
        <v>44</v>
      </c>
      <c r="J978" t="s">
        <v>41</v>
      </c>
      <c r="K978" t="s">
        <v>448</v>
      </c>
      <c r="L978" t="s">
        <v>2044</v>
      </c>
      <c r="M978">
        <v>5000</v>
      </c>
      <c r="N978">
        <v>540</v>
      </c>
      <c r="O978">
        <v>5059486</v>
      </c>
      <c r="P978">
        <v>5832</v>
      </c>
      <c r="Q978" t="s">
        <v>302</v>
      </c>
      <c r="R978">
        <v>4938.01</v>
      </c>
      <c r="T978">
        <v>4938.01</v>
      </c>
      <c r="U978" t="s">
        <v>107</v>
      </c>
    </row>
    <row r="979" spans="1:24" x14ac:dyDescent="0.25">
      <c r="A979">
        <f t="shared" ca="1" si="74"/>
        <v>0</v>
      </c>
      <c r="C979">
        <f t="shared" ca="1" si="75"/>
        <v>0</v>
      </c>
      <c r="D979" t="s">
        <v>88</v>
      </c>
      <c r="E979" t="s">
        <v>58</v>
      </c>
      <c r="F979">
        <v>446</v>
      </c>
      <c r="G979" t="s">
        <v>747</v>
      </c>
      <c r="H979" t="s">
        <v>2045</v>
      </c>
      <c r="I979" t="s">
        <v>30</v>
      </c>
      <c r="J979" t="s">
        <v>88</v>
      </c>
      <c r="K979" t="s">
        <v>61</v>
      </c>
      <c r="L979" t="s">
        <v>2046</v>
      </c>
      <c r="P979">
        <v>8418</v>
      </c>
      <c r="Q979" t="s">
        <v>2047</v>
      </c>
      <c r="R979">
        <v>5346.6</v>
      </c>
      <c r="S979">
        <v>5346.6</v>
      </c>
      <c r="T979">
        <v>0</v>
      </c>
      <c r="U979" t="s">
        <v>34</v>
      </c>
    </row>
    <row r="980" spans="1:24" x14ac:dyDescent="0.25">
      <c r="A980">
        <f t="shared" ca="1" si="74"/>
        <v>0</v>
      </c>
      <c r="C980">
        <f t="shared" ca="1" si="75"/>
        <v>0</v>
      </c>
      <c r="D980" t="s">
        <v>88</v>
      </c>
      <c r="E980" t="s">
        <v>58</v>
      </c>
      <c r="F980">
        <v>446</v>
      </c>
      <c r="G980" t="s">
        <v>747</v>
      </c>
      <c r="H980" t="s">
        <v>2045</v>
      </c>
      <c r="I980" t="s">
        <v>30</v>
      </c>
      <c r="J980" t="s">
        <v>88</v>
      </c>
      <c r="K980" t="s">
        <v>61</v>
      </c>
      <c r="L980" t="s">
        <v>2046</v>
      </c>
      <c r="P980">
        <v>8418</v>
      </c>
      <c r="Q980" t="s">
        <v>2047</v>
      </c>
      <c r="R980">
        <v>51284.84</v>
      </c>
      <c r="S980">
        <v>51284.84</v>
      </c>
      <c r="T980">
        <v>0</v>
      </c>
      <c r="U980" t="s">
        <v>34</v>
      </c>
    </row>
    <row r="981" spans="1:24" x14ac:dyDescent="0.25">
      <c r="A981">
        <f t="shared" ca="1" si="74"/>
        <v>0</v>
      </c>
      <c r="C981">
        <f t="shared" ca="1" si="75"/>
        <v>0</v>
      </c>
      <c r="D981" t="s">
        <v>95</v>
      </c>
      <c r="E981" t="s">
        <v>58</v>
      </c>
      <c r="F981">
        <v>1967</v>
      </c>
      <c r="G981" t="s">
        <v>897</v>
      </c>
      <c r="H981" t="s">
        <v>2048</v>
      </c>
      <c r="I981" t="s">
        <v>30</v>
      </c>
      <c r="J981" t="s">
        <v>95</v>
      </c>
      <c r="K981" t="s">
        <v>61</v>
      </c>
      <c r="L981" t="s">
        <v>2049</v>
      </c>
      <c r="P981">
        <v>8104</v>
      </c>
      <c r="Q981" t="s">
        <v>2050</v>
      </c>
      <c r="R981">
        <v>3292.26</v>
      </c>
      <c r="S981">
        <v>3292.26</v>
      </c>
      <c r="T981">
        <v>0</v>
      </c>
    </row>
    <row r="982" spans="1:24" x14ac:dyDescent="0.25">
      <c r="A982">
        <f t="shared" ca="1" si="74"/>
        <v>0</v>
      </c>
      <c r="C982">
        <f t="shared" ca="1" si="75"/>
        <v>0</v>
      </c>
      <c r="D982" t="s">
        <v>196</v>
      </c>
      <c r="E982" t="s">
        <v>27</v>
      </c>
      <c r="F982">
        <v>373</v>
      </c>
      <c r="G982" t="s">
        <v>75</v>
      </c>
      <c r="H982" t="s">
        <v>758</v>
      </c>
      <c r="I982" t="s">
        <v>187</v>
      </c>
      <c r="J982" t="s">
        <v>196</v>
      </c>
      <c r="K982" t="s">
        <v>31</v>
      </c>
      <c r="L982" t="s">
        <v>2051</v>
      </c>
      <c r="M982">
        <v>6000</v>
      </c>
      <c r="N982">
        <v>314</v>
      </c>
      <c r="O982">
        <v>5083042</v>
      </c>
      <c r="P982">
        <v>7111</v>
      </c>
      <c r="Q982" t="s">
        <v>754</v>
      </c>
      <c r="R982">
        <v>11593.68</v>
      </c>
      <c r="T982">
        <v>11593.68</v>
      </c>
      <c r="U982" t="s">
        <v>40</v>
      </c>
      <c r="V982" s="1">
        <v>46218</v>
      </c>
      <c r="W982" s="1">
        <v>46282</v>
      </c>
    </row>
    <row r="983" spans="1:24" x14ac:dyDescent="0.25">
      <c r="A983">
        <f t="shared" ca="1" si="74"/>
        <v>0</v>
      </c>
      <c r="C983">
        <f t="shared" ca="1" si="75"/>
        <v>0</v>
      </c>
      <c r="D983" t="s">
        <v>221</v>
      </c>
      <c r="E983" t="s">
        <v>27</v>
      </c>
      <c r="F983">
        <v>475</v>
      </c>
      <c r="G983" t="s">
        <v>1078</v>
      </c>
      <c r="H983" t="s">
        <v>2052</v>
      </c>
      <c r="I983" t="s">
        <v>187</v>
      </c>
      <c r="J983" t="s">
        <v>221</v>
      </c>
      <c r="K983" t="s">
        <v>31</v>
      </c>
      <c r="L983" t="s">
        <v>2053</v>
      </c>
      <c r="O983">
        <v>5083053</v>
      </c>
      <c r="P983">
        <v>4061</v>
      </c>
      <c r="Q983" t="s">
        <v>310</v>
      </c>
      <c r="R983">
        <v>7379.05</v>
      </c>
      <c r="T983">
        <v>7379.05</v>
      </c>
      <c r="U983" t="s">
        <v>40</v>
      </c>
      <c r="V983" s="1">
        <v>46218</v>
      </c>
      <c r="W983" s="1">
        <v>46249</v>
      </c>
    </row>
    <row r="984" spans="1:24" x14ac:dyDescent="0.25">
      <c r="A984">
        <f t="shared" ca="1" si="74"/>
        <v>0</v>
      </c>
      <c r="C984">
        <f t="shared" ca="1" si="75"/>
        <v>0</v>
      </c>
      <c r="D984" t="s">
        <v>26</v>
      </c>
      <c r="E984" t="s">
        <v>900</v>
      </c>
      <c r="F984">
        <v>1207</v>
      </c>
      <c r="G984" t="s">
        <v>904</v>
      </c>
      <c r="H984" t="s">
        <v>2054</v>
      </c>
      <c r="I984" t="s">
        <v>30</v>
      </c>
      <c r="J984" t="s">
        <v>26</v>
      </c>
      <c r="K984" t="s">
        <v>326</v>
      </c>
      <c r="L984" t="s">
        <v>2055</v>
      </c>
      <c r="M984">
        <v>24000</v>
      </c>
      <c r="N984">
        <v>293</v>
      </c>
      <c r="O984">
        <v>5104673</v>
      </c>
      <c r="P984">
        <v>6455</v>
      </c>
      <c r="Q984" t="s">
        <v>39</v>
      </c>
      <c r="R984">
        <v>7999.2</v>
      </c>
      <c r="T984">
        <v>7999.2</v>
      </c>
      <c r="U984" t="s">
        <v>40</v>
      </c>
      <c r="V984" s="1">
        <v>46244</v>
      </c>
      <c r="W984" s="1">
        <v>46290</v>
      </c>
    </row>
    <row r="985" spans="1:24" x14ac:dyDescent="0.25">
      <c r="A985">
        <f t="shared" ca="1" si="74"/>
        <v>0</v>
      </c>
      <c r="C985">
        <f t="shared" ca="1" si="75"/>
        <v>0</v>
      </c>
      <c r="D985" t="s">
        <v>74</v>
      </c>
      <c r="E985" t="s">
        <v>49</v>
      </c>
      <c r="F985">
        <v>1627</v>
      </c>
      <c r="G985" t="s">
        <v>670</v>
      </c>
      <c r="H985" t="s">
        <v>2056</v>
      </c>
      <c r="I985" t="s">
        <v>30</v>
      </c>
      <c r="J985" t="s">
        <v>74</v>
      </c>
      <c r="K985" t="s">
        <v>326</v>
      </c>
      <c r="L985" t="s">
        <v>2057</v>
      </c>
      <c r="O985">
        <v>5104712</v>
      </c>
      <c r="P985">
        <v>4921</v>
      </c>
      <c r="Q985" t="s">
        <v>94</v>
      </c>
      <c r="R985">
        <v>2261.38</v>
      </c>
      <c r="T985">
        <v>2261.38</v>
      </c>
      <c r="U985" t="s">
        <v>40</v>
      </c>
      <c r="V985" s="1">
        <v>46272</v>
      </c>
      <c r="W985" s="1">
        <v>46353</v>
      </c>
    </row>
    <row r="986" spans="1:24" x14ac:dyDescent="0.25">
      <c r="A986">
        <f t="shared" ca="1" si="74"/>
        <v>0</v>
      </c>
      <c r="C986">
        <f t="shared" ca="1" si="75"/>
        <v>0</v>
      </c>
      <c r="D986" t="s">
        <v>183</v>
      </c>
      <c r="E986" t="s">
        <v>49</v>
      </c>
      <c r="F986">
        <v>1561</v>
      </c>
      <c r="G986" t="s">
        <v>228</v>
      </c>
      <c r="H986" t="s">
        <v>928</v>
      </c>
      <c r="I986" t="s">
        <v>187</v>
      </c>
      <c r="J986" t="s">
        <v>183</v>
      </c>
      <c r="K986" t="s">
        <v>52</v>
      </c>
      <c r="L986" t="s">
        <v>2058</v>
      </c>
      <c r="M986">
        <v>2500</v>
      </c>
      <c r="N986">
        <v>660</v>
      </c>
      <c r="X986" t="s">
        <v>2059</v>
      </c>
    </row>
    <row r="987" spans="1:24" x14ac:dyDescent="0.25">
      <c r="A987">
        <f t="shared" ca="1" si="74"/>
        <v>0</v>
      </c>
      <c r="C987">
        <f t="shared" ca="1" si="75"/>
        <v>0</v>
      </c>
      <c r="D987" t="s">
        <v>196</v>
      </c>
      <c r="E987" t="s">
        <v>58</v>
      </c>
      <c r="F987">
        <v>133</v>
      </c>
      <c r="G987" t="s">
        <v>426</v>
      </c>
      <c r="H987" t="s">
        <v>2060</v>
      </c>
      <c r="I987" t="s">
        <v>187</v>
      </c>
      <c r="J987" t="s">
        <v>196</v>
      </c>
      <c r="K987" t="s">
        <v>215</v>
      </c>
      <c r="L987" t="s">
        <v>2061</v>
      </c>
      <c r="M987">
        <v>3000</v>
      </c>
      <c r="N987">
        <v>174</v>
      </c>
      <c r="O987">
        <v>5036788</v>
      </c>
      <c r="P987">
        <v>4182</v>
      </c>
      <c r="Q987" t="s">
        <v>2062</v>
      </c>
      <c r="R987">
        <v>1674</v>
      </c>
      <c r="S987">
        <v>1674</v>
      </c>
      <c r="T987">
        <v>0</v>
      </c>
      <c r="U987" t="s">
        <v>34</v>
      </c>
      <c r="X987" t="s">
        <v>2063</v>
      </c>
    </row>
    <row r="988" spans="1:24" x14ac:dyDescent="0.25">
      <c r="A988">
        <f t="shared" ca="1" si="74"/>
        <v>0</v>
      </c>
      <c r="C988">
        <f t="shared" ca="1" si="75"/>
        <v>0</v>
      </c>
      <c r="D988" t="s">
        <v>41</v>
      </c>
      <c r="E988" t="s">
        <v>237</v>
      </c>
      <c r="F988">
        <v>755</v>
      </c>
      <c r="G988" t="s">
        <v>258</v>
      </c>
      <c r="H988" t="s">
        <v>2064</v>
      </c>
      <c r="I988" t="s">
        <v>44</v>
      </c>
      <c r="J988" t="s">
        <v>41</v>
      </c>
      <c r="K988" t="s">
        <v>240</v>
      </c>
      <c r="L988" t="s">
        <v>2065</v>
      </c>
      <c r="M988">
        <v>15000</v>
      </c>
      <c r="N988">
        <v>43</v>
      </c>
      <c r="O988">
        <v>5033900</v>
      </c>
      <c r="P988">
        <v>5978</v>
      </c>
      <c r="Q988" t="s">
        <v>54</v>
      </c>
      <c r="R988">
        <v>15312</v>
      </c>
      <c r="S988">
        <v>15312</v>
      </c>
      <c r="T988">
        <v>0</v>
      </c>
      <c r="U988" t="s">
        <v>34</v>
      </c>
    </row>
    <row r="989" spans="1:24" x14ac:dyDescent="0.25">
      <c r="A989">
        <f t="shared" ca="1" si="74"/>
        <v>0</v>
      </c>
      <c r="C989">
        <f t="shared" ca="1" si="75"/>
        <v>0</v>
      </c>
      <c r="D989" t="s">
        <v>26</v>
      </c>
      <c r="E989" t="s">
        <v>58</v>
      </c>
      <c r="F989">
        <v>2170</v>
      </c>
      <c r="G989" t="s">
        <v>464</v>
      </c>
      <c r="H989" t="s">
        <v>2066</v>
      </c>
      <c r="I989" t="s">
        <v>30</v>
      </c>
      <c r="J989" t="s">
        <v>26</v>
      </c>
      <c r="K989" t="s">
        <v>215</v>
      </c>
      <c r="L989" t="s">
        <v>2067</v>
      </c>
      <c r="M989">
        <v>3000</v>
      </c>
      <c r="N989">
        <v>275</v>
      </c>
      <c r="O989">
        <v>5038821</v>
      </c>
      <c r="P989">
        <v>81</v>
      </c>
      <c r="Q989" t="s">
        <v>102</v>
      </c>
      <c r="R989">
        <v>2564.65</v>
      </c>
      <c r="S989">
        <v>2564.65</v>
      </c>
      <c r="T989">
        <v>0</v>
      </c>
      <c r="U989" t="s">
        <v>34</v>
      </c>
      <c r="V989" s="1">
        <v>46174</v>
      </c>
      <c r="W989" s="1">
        <v>46192</v>
      </c>
      <c r="X989" t="s">
        <v>2068</v>
      </c>
    </row>
    <row r="990" spans="1:24" x14ac:dyDescent="0.25">
      <c r="A990">
        <f t="shared" ca="1" si="74"/>
        <v>0</v>
      </c>
      <c r="C990">
        <f t="shared" ca="1" si="75"/>
        <v>0</v>
      </c>
      <c r="D990" t="s">
        <v>26</v>
      </c>
      <c r="E990" t="s">
        <v>58</v>
      </c>
      <c r="F990">
        <v>2203</v>
      </c>
      <c r="G990" t="s">
        <v>426</v>
      </c>
      <c r="H990" t="s">
        <v>2069</v>
      </c>
      <c r="I990" t="s">
        <v>30</v>
      </c>
      <c r="J990" t="s">
        <v>26</v>
      </c>
      <c r="K990" t="s">
        <v>61</v>
      </c>
      <c r="L990" t="s">
        <v>2070</v>
      </c>
      <c r="M990">
        <v>5000</v>
      </c>
      <c r="N990">
        <v>276</v>
      </c>
      <c r="O990">
        <v>5085741</v>
      </c>
      <c r="P990">
        <v>2450</v>
      </c>
      <c r="Q990" t="s">
        <v>69</v>
      </c>
      <c r="R990">
        <v>4657.4799999999996</v>
      </c>
      <c r="S990">
        <v>4657.4799999999996</v>
      </c>
      <c r="T990">
        <v>0</v>
      </c>
      <c r="U990" t="s">
        <v>34</v>
      </c>
      <c r="X990" t="s">
        <v>40</v>
      </c>
    </row>
    <row r="991" spans="1:24" x14ac:dyDescent="0.25">
      <c r="A991">
        <f t="shared" ca="1" si="74"/>
        <v>0</v>
      </c>
      <c r="C991">
        <f t="shared" ca="1" si="75"/>
        <v>0</v>
      </c>
      <c r="D991" t="s">
        <v>562</v>
      </c>
      <c r="E991" t="s">
        <v>58</v>
      </c>
      <c r="F991">
        <v>462</v>
      </c>
      <c r="G991" t="s">
        <v>426</v>
      </c>
      <c r="H991" t="s">
        <v>1439</v>
      </c>
      <c r="I991" t="s">
        <v>30</v>
      </c>
      <c r="J991" t="s">
        <v>562</v>
      </c>
      <c r="K991" t="s">
        <v>215</v>
      </c>
      <c r="L991" t="s">
        <v>1440</v>
      </c>
      <c r="M991">
        <v>3000</v>
      </c>
      <c r="N991">
        <v>277</v>
      </c>
      <c r="P991">
        <v>4528</v>
      </c>
      <c r="Q991" t="s">
        <v>2071</v>
      </c>
      <c r="R991">
        <v>80.22</v>
      </c>
      <c r="S991">
        <v>80.22</v>
      </c>
      <c r="T991">
        <v>0</v>
      </c>
      <c r="X991" t="s">
        <v>2072</v>
      </c>
    </row>
    <row r="992" spans="1:24" x14ac:dyDescent="0.25">
      <c r="A992" t="s">
        <v>2073</v>
      </c>
    </row>
    <row r="993" spans="1:24" x14ac:dyDescent="0.25">
      <c r="A993">
        <f t="shared" ref="A993:A998" ca="1" si="76">+ Cmde</f>
        <v>0</v>
      </c>
      <c r="C993">
        <f t="shared" ref="C993:C998" ca="1" si="77">+ Devis</f>
        <v>0</v>
      </c>
      <c r="D993" t="s">
        <v>183</v>
      </c>
      <c r="E993" t="s">
        <v>900</v>
      </c>
      <c r="F993">
        <v>893</v>
      </c>
      <c r="G993" t="s">
        <v>901</v>
      </c>
      <c r="H993" t="s">
        <v>2074</v>
      </c>
      <c r="I993" t="s">
        <v>187</v>
      </c>
      <c r="J993" t="s">
        <v>183</v>
      </c>
      <c r="K993" t="s">
        <v>326</v>
      </c>
      <c r="L993" t="s">
        <v>2075</v>
      </c>
      <c r="M993">
        <v>14000</v>
      </c>
      <c r="N993">
        <v>278</v>
      </c>
      <c r="O993">
        <v>5075699</v>
      </c>
      <c r="P993">
        <v>8368</v>
      </c>
      <c r="Q993" t="s">
        <v>1367</v>
      </c>
      <c r="R993">
        <v>5061.6499999999996</v>
      </c>
      <c r="S993">
        <v>5061.6499999999996</v>
      </c>
      <c r="T993">
        <v>0</v>
      </c>
      <c r="U993" t="s">
        <v>34</v>
      </c>
      <c r="V993" s="1">
        <v>46195</v>
      </c>
      <c r="W993" s="1">
        <v>46234</v>
      </c>
    </row>
    <row r="994" spans="1:24" x14ac:dyDescent="0.25">
      <c r="A994">
        <f t="shared" ca="1" si="76"/>
        <v>0</v>
      </c>
      <c r="C994">
        <f t="shared" ca="1" si="77"/>
        <v>0</v>
      </c>
      <c r="D994" t="s">
        <v>285</v>
      </c>
      <c r="E994" t="s">
        <v>900</v>
      </c>
      <c r="F994">
        <v>956</v>
      </c>
      <c r="G994" t="s">
        <v>1282</v>
      </c>
      <c r="H994" t="s">
        <v>2076</v>
      </c>
      <c r="I994" t="s">
        <v>187</v>
      </c>
      <c r="J994" t="s">
        <v>285</v>
      </c>
      <c r="K994" t="s">
        <v>326</v>
      </c>
      <c r="L994" t="s">
        <v>2077</v>
      </c>
      <c r="M994">
        <v>5000</v>
      </c>
      <c r="N994">
        <v>279</v>
      </c>
      <c r="O994">
        <v>5021998</v>
      </c>
      <c r="P994">
        <v>8368</v>
      </c>
      <c r="Q994" t="s">
        <v>1367</v>
      </c>
      <c r="R994">
        <v>4431.8999999999996</v>
      </c>
      <c r="S994">
        <v>4431.8999999999996</v>
      </c>
      <c r="T994">
        <v>0</v>
      </c>
      <c r="U994" t="s">
        <v>34</v>
      </c>
      <c r="V994" s="1">
        <v>46069</v>
      </c>
      <c r="W994" s="1">
        <v>46129</v>
      </c>
    </row>
    <row r="995" spans="1:24" x14ac:dyDescent="0.25">
      <c r="A995">
        <f t="shared" ca="1" si="76"/>
        <v>0</v>
      </c>
      <c r="C995">
        <f t="shared" ca="1" si="77"/>
        <v>0</v>
      </c>
      <c r="D995" t="s">
        <v>285</v>
      </c>
      <c r="E995" t="s">
        <v>900</v>
      </c>
      <c r="F995">
        <v>1177</v>
      </c>
      <c r="G995" t="s">
        <v>1282</v>
      </c>
      <c r="H995" t="s">
        <v>2078</v>
      </c>
      <c r="I995" t="s">
        <v>187</v>
      </c>
      <c r="J995" t="s">
        <v>285</v>
      </c>
      <c r="K995" t="s">
        <v>326</v>
      </c>
      <c r="L995" t="s">
        <v>2079</v>
      </c>
      <c r="M995">
        <v>8000</v>
      </c>
      <c r="N995">
        <v>280</v>
      </c>
      <c r="O995">
        <v>5011991</v>
      </c>
      <c r="P995">
        <v>27385</v>
      </c>
      <c r="Q995" t="s">
        <v>2080</v>
      </c>
      <c r="R995">
        <v>2293.5</v>
      </c>
      <c r="S995">
        <v>2293.5</v>
      </c>
      <c r="T995">
        <v>0</v>
      </c>
      <c r="U995" t="s">
        <v>34</v>
      </c>
      <c r="V995" s="1">
        <v>46041</v>
      </c>
      <c r="W995" s="1">
        <v>46080</v>
      </c>
    </row>
    <row r="996" spans="1:24" x14ac:dyDescent="0.25">
      <c r="A996">
        <f t="shared" ca="1" si="76"/>
        <v>0</v>
      </c>
      <c r="C996">
        <f t="shared" ca="1" si="77"/>
        <v>0</v>
      </c>
      <c r="D996" t="s">
        <v>285</v>
      </c>
      <c r="E996" t="s">
        <v>900</v>
      </c>
      <c r="F996">
        <v>1187</v>
      </c>
      <c r="G996" t="s">
        <v>1282</v>
      </c>
      <c r="H996" t="s">
        <v>2081</v>
      </c>
      <c r="I996" t="s">
        <v>187</v>
      </c>
      <c r="J996" t="s">
        <v>285</v>
      </c>
      <c r="K996" t="s">
        <v>326</v>
      </c>
      <c r="L996" t="s">
        <v>2082</v>
      </c>
      <c r="M996">
        <v>4000</v>
      </c>
      <c r="N996">
        <v>281</v>
      </c>
      <c r="O996">
        <v>5009792</v>
      </c>
      <c r="P996">
        <v>8368</v>
      </c>
      <c r="Q996" t="s">
        <v>1367</v>
      </c>
      <c r="R996">
        <v>3819.2</v>
      </c>
      <c r="S996">
        <v>3819.2</v>
      </c>
      <c r="T996">
        <v>0</v>
      </c>
      <c r="U996" t="s">
        <v>34</v>
      </c>
      <c r="V996" s="1">
        <v>46034</v>
      </c>
      <c r="W996" s="1">
        <v>46080</v>
      </c>
    </row>
    <row r="997" spans="1:24" x14ac:dyDescent="0.25">
      <c r="A997">
        <f t="shared" ca="1" si="76"/>
        <v>0</v>
      </c>
      <c r="C997">
        <f t="shared" ca="1" si="77"/>
        <v>0</v>
      </c>
      <c r="D997" t="s">
        <v>183</v>
      </c>
      <c r="E997" t="s">
        <v>900</v>
      </c>
      <c r="F997">
        <v>1204</v>
      </c>
      <c r="G997" t="s">
        <v>1282</v>
      </c>
      <c r="H997" t="s">
        <v>2083</v>
      </c>
      <c r="I997" t="s">
        <v>187</v>
      </c>
      <c r="J997" t="s">
        <v>183</v>
      </c>
      <c r="K997" t="s">
        <v>326</v>
      </c>
      <c r="L997" t="s">
        <v>2084</v>
      </c>
      <c r="M997">
        <v>6000</v>
      </c>
      <c r="N997">
        <v>282</v>
      </c>
      <c r="O997">
        <v>5076634</v>
      </c>
      <c r="P997">
        <v>8368</v>
      </c>
      <c r="Q997" t="s">
        <v>1367</v>
      </c>
      <c r="R997">
        <v>10058.18</v>
      </c>
      <c r="T997">
        <v>10058.18</v>
      </c>
      <c r="U997" t="s">
        <v>40</v>
      </c>
      <c r="V997" s="1">
        <v>46195</v>
      </c>
      <c r="W997" s="1">
        <v>46234</v>
      </c>
    </row>
    <row r="998" spans="1:24" x14ac:dyDescent="0.25">
      <c r="A998">
        <f t="shared" ca="1" si="76"/>
        <v>0</v>
      </c>
      <c r="C998">
        <f t="shared" ca="1" si="77"/>
        <v>0</v>
      </c>
      <c r="D998" t="s">
        <v>57</v>
      </c>
      <c r="E998" t="s">
        <v>900</v>
      </c>
      <c r="F998">
        <v>1176</v>
      </c>
      <c r="G998" t="s">
        <v>1282</v>
      </c>
      <c r="H998" t="s">
        <v>2078</v>
      </c>
      <c r="I998" t="s">
        <v>44</v>
      </c>
      <c r="J998" t="s">
        <v>57</v>
      </c>
      <c r="K998" t="s">
        <v>326</v>
      </c>
      <c r="L998" t="s">
        <v>2085</v>
      </c>
      <c r="M998">
        <v>25000</v>
      </c>
      <c r="N998">
        <v>285</v>
      </c>
      <c r="X998" t="s">
        <v>2086</v>
      </c>
    </row>
    <row r="1000" spans="1:24" x14ac:dyDescent="0.25">
      <c r="A1000">
        <f t="shared" ref="A1000:A1009" ca="1" si="78">+ Cmde</f>
        <v>0</v>
      </c>
      <c r="C1000">
        <f t="shared" ref="C1000:C1009" ca="1" si="79">+ Devis</f>
        <v>0</v>
      </c>
      <c r="D1000" t="s">
        <v>236</v>
      </c>
      <c r="E1000" t="s">
        <v>900</v>
      </c>
      <c r="F1000">
        <v>1179</v>
      </c>
      <c r="G1000" t="s">
        <v>1282</v>
      </c>
      <c r="H1000" t="s">
        <v>2087</v>
      </c>
      <c r="I1000" t="s">
        <v>44</v>
      </c>
      <c r="J1000" t="s">
        <v>236</v>
      </c>
      <c r="K1000" t="s">
        <v>326</v>
      </c>
      <c r="L1000" t="s">
        <v>582</v>
      </c>
      <c r="M1000">
        <v>32000</v>
      </c>
      <c r="N1000">
        <v>286</v>
      </c>
      <c r="O1000">
        <v>5039556</v>
      </c>
      <c r="P1000">
        <v>17125</v>
      </c>
      <c r="Q1000" t="s">
        <v>721</v>
      </c>
      <c r="R1000">
        <v>23151.11</v>
      </c>
      <c r="S1000">
        <v>6945.33</v>
      </c>
      <c r="T1000">
        <v>16205.78</v>
      </c>
      <c r="U1000" t="s">
        <v>40</v>
      </c>
      <c r="V1000" s="1">
        <v>46104</v>
      </c>
      <c r="W1000" s="1">
        <v>46136</v>
      </c>
    </row>
    <row r="1001" spans="1:24" x14ac:dyDescent="0.25">
      <c r="A1001">
        <f t="shared" ca="1" si="78"/>
        <v>0</v>
      </c>
      <c r="C1001">
        <f t="shared" ca="1" si="79"/>
        <v>0</v>
      </c>
      <c r="D1001" t="s">
        <v>209</v>
      </c>
      <c r="E1001" t="s">
        <v>900</v>
      </c>
      <c r="F1001">
        <v>1698</v>
      </c>
      <c r="G1001" t="s">
        <v>901</v>
      </c>
      <c r="H1001" t="s">
        <v>2088</v>
      </c>
      <c r="I1001" t="s">
        <v>44</v>
      </c>
      <c r="J1001" t="s">
        <v>209</v>
      </c>
      <c r="K1001" t="s">
        <v>326</v>
      </c>
      <c r="L1001" t="s">
        <v>2089</v>
      </c>
      <c r="M1001">
        <v>5000</v>
      </c>
      <c r="N1001">
        <v>287</v>
      </c>
      <c r="O1001">
        <v>5019340</v>
      </c>
      <c r="P1001">
        <v>17125</v>
      </c>
      <c r="Q1001" t="s">
        <v>721</v>
      </c>
      <c r="R1001">
        <v>4698.34</v>
      </c>
      <c r="S1001">
        <v>4698.34</v>
      </c>
      <c r="T1001">
        <v>0</v>
      </c>
      <c r="U1001" t="s">
        <v>34</v>
      </c>
      <c r="V1001" s="1">
        <v>46083</v>
      </c>
      <c r="W1001" s="1">
        <v>46136</v>
      </c>
    </row>
    <row r="1002" spans="1:24" x14ac:dyDescent="0.25">
      <c r="A1002">
        <f t="shared" ca="1" si="78"/>
        <v>0</v>
      </c>
      <c r="C1002">
        <f t="shared" ca="1" si="79"/>
        <v>0</v>
      </c>
      <c r="D1002" t="s">
        <v>209</v>
      </c>
      <c r="E1002" t="s">
        <v>900</v>
      </c>
      <c r="F1002">
        <v>1699</v>
      </c>
      <c r="G1002" t="s">
        <v>901</v>
      </c>
      <c r="H1002" t="s">
        <v>2090</v>
      </c>
      <c r="I1002" t="s">
        <v>44</v>
      </c>
      <c r="J1002" t="s">
        <v>209</v>
      </c>
      <c r="K1002" t="s">
        <v>326</v>
      </c>
      <c r="L1002" t="s">
        <v>2089</v>
      </c>
      <c r="M1002">
        <v>5000</v>
      </c>
      <c r="N1002">
        <v>288</v>
      </c>
      <c r="O1002">
        <v>5019345</v>
      </c>
      <c r="P1002">
        <v>17125</v>
      </c>
      <c r="Q1002" t="s">
        <v>721</v>
      </c>
      <c r="R1002">
        <v>3876.96</v>
      </c>
      <c r="S1002">
        <v>3876.96</v>
      </c>
      <c r="T1002">
        <v>0</v>
      </c>
      <c r="U1002" t="s">
        <v>34</v>
      </c>
      <c r="V1002" s="1">
        <v>46083</v>
      </c>
      <c r="W1002" s="1">
        <v>46136</v>
      </c>
    </row>
    <row r="1003" spans="1:24" x14ac:dyDescent="0.25">
      <c r="A1003">
        <f t="shared" ca="1" si="78"/>
        <v>0</v>
      </c>
      <c r="C1003">
        <f t="shared" ca="1" si="79"/>
        <v>0</v>
      </c>
      <c r="D1003" t="s">
        <v>41</v>
      </c>
      <c r="E1003" t="s">
        <v>900</v>
      </c>
      <c r="F1003">
        <v>1734</v>
      </c>
      <c r="G1003" t="s">
        <v>901</v>
      </c>
      <c r="H1003" t="s">
        <v>2091</v>
      </c>
      <c r="I1003" t="s">
        <v>44</v>
      </c>
      <c r="J1003" t="s">
        <v>41</v>
      </c>
      <c r="K1003" t="s">
        <v>326</v>
      </c>
      <c r="L1003" t="s">
        <v>2092</v>
      </c>
      <c r="M1003">
        <v>10000</v>
      </c>
      <c r="N1003">
        <v>289</v>
      </c>
      <c r="X1003" t="s">
        <v>2093</v>
      </c>
    </row>
    <row r="1004" spans="1:24" x14ac:dyDescent="0.25">
      <c r="A1004">
        <f t="shared" ca="1" si="78"/>
        <v>0</v>
      </c>
      <c r="C1004">
        <f t="shared" ca="1" si="79"/>
        <v>0</v>
      </c>
      <c r="D1004" t="s">
        <v>203</v>
      </c>
      <c r="E1004" t="s">
        <v>900</v>
      </c>
      <c r="F1004">
        <v>2052</v>
      </c>
      <c r="G1004" t="s">
        <v>904</v>
      </c>
      <c r="H1004" t="s">
        <v>2094</v>
      </c>
      <c r="I1004" t="s">
        <v>44</v>
      </c>
      <c r="J1004" t="s">
        <v>203</v>
      </c>
      <c r="K1004" t="s">
        <v>326</v>
      </c>
      <c r="L1004" t="s">
        <v>2095</v>
      </c>
      <c r="M1004">
        <v>8000</v>
      </c>
      <c r="N1004">
        <v>290</v>
      </c>
      <c r="O1004">
        <v>5019353</v>
      </c>
      <c r="P1004">
        <v>17125</v>
      </c>
      <c r="Q1004" t="s">
        <v>721</v>
      </c>
      <c r="R1004">
        <v>2618.44</v>
      </c>
      <c r="S1004">
        <v>2618.44</v>
      </c>
      <c r="T1004">
        <v>0</v>
      </c>
      <c r="U1004" t="s">
        <v>34</v>
      </c>
      <c r="V1004" s="1">
        <v>46083</v>
      </c>
      <c r="W1004" s="1">
        <v>46136</v>
      </c>
    </row>
    <row r="1005" spans="1:24" x14ac:dyDescent="0.25">
      <c r="A1005">
        <f t="shared" ca="1" si="78"/>
        <v>0</v>
      </c>
      <c r="C1005">
        <f t="shared" ca="1" si="79"/>
        <v>0</v>
      </c>
      <c r="D1005" t="s">
        <v>35</v>
      </c>
      <c r="E1005" t="s">
        <v>900</v>
      </c>
      <c r="F1005">
        <v>1172</v>
      </c>
      <c r="G1005" t="s">
        <v>1282</v>
      </c>
      <c r="H1005" t="s">
        <v>2096</v>
      </c>
      <c r="I1005" t="s">
        <v>30</v>
      </c>
      <c r="J1005" t="s">
        <v>35</v>
      </c>
      <c r="K1005" t="s">
        <v>326</v>
      </c>
      <c r="L1005" t="s">
        <v>2097</v>
      </c>
      <c r="M1005">
        <v>18000</v>
      </c>
      <c r="N1005">
        <v>291</v>
      </c>
      <c r="O1005">
        <v>5039538</v>
      </c>
      <c r="P1005">
        <v>14782</v>
      </c>
      <c r="Q1005" t="s">
        <v>2025</v>
      </c>
      <c r="R1005">
        <v>18663.82</v>
      </c>
      <c r="S1005">
        <v>18663.82</v>
      </c>
      <c r="T1005">
        <v>0</v>
      </c>
      <c r="U1005" t="s">
        <v>34</v>
      </c>
      <c r="V1005" s="1">
        <v>46118</v>
      </c>
      <c r="W1005" s="1">
        <v>46171</v>
      </c>
    </row>
    <row r="1006" spans="1:24" x14ac:dyDescent="0.25">
      <c r="A1006">
        <f t="shared" ca="1" si="78"/>
        <v>0</v>
      </c>
      <c r="C1006">
        <f t="shared" ca="1" si="79"/>
        <v>0</v>
      </c>
      <c r="D1006" t="s">
        <v>26</v>
      </c>
      <c r="E1006" t="s">
        <v>900</v>
      </c>
      <c r="F1006">
        <v>1207</v>
      </c>
      <c r="G1006" t="s">
        <v>904</v>
      </c>
      <c r="H1006" t="s">
        <v>2054</v>
      </c>
      <c r="I1006" t="s">
        <v>30</v>
      </c>
      <c r="J1006" t="s">
        <v>26</v>
      </c>
      <c r="K1006" t="s">
        <v>326</v>
      </c>
      <c r="L1006" t="s">
        <v>2098</v>
      </c>
      <c r="M1006">
        <v>24000</v>
      </c>
      <c r="N1006">
        <v>293</v>
      </c>
      <c r="O1006">
        <v>5061532</v>
      </c>
      <c r="P1006">
        <v>505</v>
      </c>
      <c r="Q1006" t="s">
        <v>438</v>
      </c>
      <c r="R1006">
        <v>25349.91</v>
      </c>
      <c r="T1006">
        <v>25349.91</v>
      </c>
      <c r="U1006" t="s">
        <v>40</v>
      </c>
      <c r="V1006" s="1">
        <v>46272</v>
      </c>
      <c r="W1006" s="1">
        <v>46290</v>
      </c>
    </row>
    <row r="1007" spans="1:24" x14ac:dyDescent="0.25">
      <c r="A1007">
        <f t="shared" ca="1" si="78"/>
        <v>0</v>
      </c>
      <c r="C1007">
        <f t="shared" ca="1" si="79"/>
        <v>0</v>
      </c>
      <c r="D1007" t="s">
        <v>355</v>
      </c>
      <c r="E1007" t="s">
        <v>900</v>
      </c>
      <c r="F1007">
        <v>1213</v>
      </c>
      <c r="G1007" t="s">
        <v>904</v>
      </c>
      <c r="H1007" t="s">
        <v>2099</v>
      </c>
      <c r="I1007" t="s">
        <v>30</v>
      </c>
      <c r="J1007" t="s">
        <v>355</v>
      </c>
      <c r="K1007" t="s">
        <v>326</v>
      </c>
      <c r="L1007" t="s">
        <v>2100</v>
      </c>
      <c r="M1007">
        <v>5000</v>
      </c>
      <c r="N1007">
        <v>294</v>
      </c>
      <c r="O1007">
        <v>5018815</v>
      </c>
      <c r="P1007">
        <v>5642</v>
      </c>
      <c r="Q1007" t="s">
        <v>2101</v>
      </c>
      <c r="R1007">
        <v>2560.0300000000002</v>
      </c>
      <c r="S1007">
        <v>2560.0300000000002</v>
      </c>
      <c r="T1007">
        <v>0</v>
      </c>
      <c r="U1007" t="s">
        <v>34</v>
      </c>
      <c r="V1007" s="1">
        <v>46069</v>
      </c>
      <c r="W1007" s="1">
        <v>46108</v>
      </c>
    </row>
    <row r="1008" spans="1:24" x14ac:dyDescent="0.25">
      <c r="A1008">
        <f t="shared" ca="1" si="78"/>
        <v>0</v>
      </c>
      <c r="C1008">
        <f t="shared" ca="1" si="79"/>
        <v>0</v>
      </c>
      <c r="D1008" t="s">
        <v>88</v>
      </c>
      <c r="E1008" t="s">
        <v>900</v>
      </c>
      <c r="F1008">
        <v>1702</v>
      </c>
      <c r="G1008" t="s">
        <v>904</v>
      </c>
      <c r="H1008" t="s">
        <v>905</v>
      </c>
      <c r="I1008" t="s">
        <v>30</v>
      </c>
      <c r="J1008" t="s">
        <v>88</v>
      </c>
      <c r="K1008" t="s">
        <v>326</v>
      </c>
      <c r="L1008" t="s">
        <v>2102</v>
      </c>
      <c r="M1008">
        <v>17000</v>
      </c>
      <c r="N1008">
        <v>295</v>
      </c>
      <c r="O1008">
        <v>5015519</v>
      </c>
      <c r="P1008">
        <v>7864</v>
      </c>
      <c r="Q1008" t="s">
        <v>2103</v>
      </c>
      <c r="R1008">
        <v>17691.89</v>
      </c>
      <c r="T1008">
        <v>17691.89</v>
      </c>
      <c r="U1008" t="s">
        <v>40</v>
      </c>
      <c r="V1008" s="1">
        <v>46118</v>
      </c>
      <c r="W1008" s="1">
        <v>46171</v>
      </c>
    </row>
    <row r="1009" spans="1:24" x14ac:dyDescent="0.25">
      <c r="A1009">
        <f t="shared" ca="1" si="78"/>
        <v>0</v>
      </c>
      <c r="C1009">
        <f t="shared" ca="1" si="79"/>
        <v>0</v>
      </c>
      <c r="D1009" t="s">
        <v>88</v>
      </c>
      <c r="E1009" t="s">
        <v>900</v>
      </c>
      <c r="F1009">
        <v>1732</v>
      </c>
      <c r="G1009" t="s">
        <v>901</v>
      </c>
      <c r="H1009" t="s">
        <v>2104</v>
      </c>
      <c r="I1009" t="s">
        <v>30</v>
      </c>
      <c r="J1009" t="s">
        <v>88</v>
      </c>
      <c r="K1009" t="s">
        <v>326</v>
      </c>
      <c r="L1009" t="s">
        <v>2105</v>
      </c>
      <c r="M1009">
        <v>35000</v>
      </c>
      <c r="N1009">
        <v>297</v>
      </c>
      <c r="O1009">
        <v>5080222</v>
      </c>
      <c r="P1009">
        <v>7725</v>
      </c>
      <c r="Q1009" t="s">
        <v>2106</v>
      </c>
      <c r="R1009">
        <v>95500</v>
      </c>
      <c r="S1009">
        <v>28650</v>
      </c>
      <c r="T1009">
        <v>66850</v>
      </c>
      <c r="U1009" t="s">
        <v>107</v>
      </c>
      <c r="V1009" s="1">
        <v>46300</v>
      </c>
      <c r="W1009" s="1">
        <v>46353</v>
      </c>
      <c r="X1009" t="s">
        <v>2107</v>
      </c>
    </row>
    <row r="1011" spans="1:24" x14ac:dyDescent="0.25">
      <c r="A1011">
        <f t="shared" ref="A1011:A1031" ca="1" si="80">+ Cmde</f>
        <v>0</v>
      </c>
      <c r="C1011">
        <f t="shared" ref="C1011:C1031" ca="1" si="81">+ Devis</f>
        <v>0</v>
      </c>
      <c r="D1011" t="s">
        <v>196</v>
      </c>
      <c r="E1011" t="s">
        <v>27</v>
      </c>
      <c r="F1011">
        <v>135</v>
      </c>
      <c r="G1011" t="s">
        <v>114</v>
      </c>
      <c r="H1011" t="s">
        <v>2108</v>
      </c>
      <c r="I1011" t="s">
        <v>187</v>
      </c>
      <c r="J1011" t="s">
        <v>196</v>
      </c>
      <c r="K1011" t="s">
        <v>31</v>
      </c>
      <c r="L1011" t="s">
        <v>2109</v>
      </c>
      <c r="M1011">
        <v>5000</v>
      </c>
      <c r="N1011">
        <v>299</v>
      </c>
      <c r="O1011">
        <v>5038616</v>
      </c>
      <c r="P1011">
        <v>7111</v>
      </c>
      <c r="Q1011" t="s">
        <v>754</v>
      </c>
      <c r="R1011">
        <v>3011.05</v>
      </c>
      <c r="S1011">
        <v>3011.05</v>
      </c>
      <c r="T1011">
        <v>0</v>
      </c>
      <c r="U1011" t="s">
        <v>34</v>
      </c>
      <c r="V1011" s="1">
        <v>46122</v>
      </c>
      <c r="W1011" s="1">
        <v>46127</v>
      </c>
    </row>
    <row r="1012" spans="1:24" x14ac:dyDescent="0.25">
      <c r="A1012">
        <f t="shared" ca="1" si="80"/>
        <v>0</v>
      </c>
      <c r="C1012">
        <f t="shared" ca="1" si="81"/>
        <v>0</v>
      </c>
      <c r="D1012" t="s">
        <v>196</v>
      </c>
      <c r="E1012" t="s">
        <v>27</v>
      </c>
      <c r="F1012">
        <v>189</v>
      </c>
      <c r="G1012" t="s">
        <v>114</v>
      </c>
      <c r="H1012" t="s">
        <v>2110</v>
      </c>
      <c r="I1012" t="s">
        <v>187</v>
      </c>
      <c r="J1012" t="s">
        <v>196</v>
      </c>
      <c r="K1012" t="s">
        <v>31</v>
      </c>
      <c r="L1012" t="s">
        <v>2111</v>
      </c>
      <c r="M1012">
        <v>9000</v>
      </c>
      <c r="N1012">
        <v>301</v>
      </c>
      <c r="O1012">
        <v>5054316</v>
      </c>
      <c r="P1012">
        <v>7111</v>
      </c>
      <c r="Q1012" t="s">
        <v>754</v>
      </c>
      <c r="R1012">
        <v>1584</v>
      </c>
      <c r="S1012">
        <v>1584</v>
      </c>
      <c r="T1012">
        <v>0</v>
      </c>
      <c r="U1012" t="s">
        <v>34</v>
      </c>
      <c r="V1012" s="1">
        <v>46111</v>
      </c>
      <c r="W1012" s="1">
        <v>46112</v>
      </c>
    </row>
    <row r="1013" spans="1:24" x14ac:dyDescent="0.25">
      <c r="A1013">
        <f t="shared" ca="1" si="80"/>
        <v>0</v>
      </c>
      <c r="C1013">
        <f t="shared" ca="1" si="81"/>
        <v>0</v>
      </c>
      <c r="D1013" t="s">
        <v>285</v>
      </c>
      <c r="E1013" t="s">
        <v>27</v>
      </c>
      <c r="F1013">
        <v>269</v>
      </c>
      <c r="G1013" t="s">
        <v>85</v>
      </c>
      <c r="H1013" t="s">
        <v>2112</v>
      </c>
      <c r="I1013" t="s">
        <v>187</v>
      </c>
      <c r="J1013" t="s">
        <v>285</v>
      </c>
      <c r="K1013" t="s">
        <v>31</v>
      </c>
      <c r="L1013" t="s">
        <v>2113</v>
      </c>
      <c r="M1013">
        <v>7000</v>
      </c>
      <c r="N1013">
        <v>303</v>
      </c>
      <c r="O1013">
        <v>5079222</v>
      </c>
      <c r="P1013">
        <v>7111</v>
      </c>
      <c r="Q1013" t="s">
        <v>754</v>
      </c>
      <c r="R1013">
        <v>5821.2</v>
      </c>
      <c r="T1013">
        <v>5821.2</v>
      </c>
      <c r="U1013" t="s">
        <v>40</v>
      </c>
      <c r="V1013" s="1">
        <v>46266</v>
      </c>
      <c r="W1013" s="1">
        <v>46295</v>
      </c>
      <c r="X1013" t="s">
        <v>1604</v>
      </c>
    </row>
    <row r="1014" spans="1:24" x14ac:dyDescent="0.25">
      <c r="A1014">
        <f t="shared" ca="1" si="80"/>
        <v>0</v>
      </c>
      <c r="C1014">
        <f t="shared" ca="1" si="81"/>
        <v>0</v>
      </c>
      <c r="D1014" t="s">
        <v>221</v>
      </c>
      <c r="E1014" t="s">
        <v>27</v>
      </c>
      <c r="F1014">
        <v>277</v>
      </c>
      <c r="G1014" t="s">
        <v>75</v>
      </c>
      <c r="H1014" t="s">
        <v>2114</v>
      </c>
      <c r="I1014" t="s">
        <v>187</v>
      </c>
      <c r="J1014" t="s">
        <v>221</v>
      </c>
      <c r="K1014" t="s">
        <v>31</v>
      </c>
      <c r="L1014" t="s">
        <v>2115</v>
      </c>
      <c r="M1014">
        <v>5000</v>
      </c>
      <c r="N1014">
        <v>304</v>
      </c>
      <c r="O1014">
        <v>5039982</v>
      </c>
      <c r="P1014">
        <v>7111</v>
      </c>
      <c r="Q1014" t="s">
        <v>754</v>
      </c>
      <c r="R1014">
        <v>5662.8</v>
      </c>
      <c r="T1014">
        <v>5662.8</v>
      </c>
      <c r="U1014" t="s">
        <v>40</v>
      </c>
      <c r="V1014" s="1">
        <v>46127</v>
      </c>
      <c r="W1014" s="1">
        <v>46142</v>
      </c>
    </row>
    <row r="1015" spans="1:24" x14ac:dyDescent="0.25">
      <c r="A1015">
        <f t="shared" ca="1" si="80"/>
        <v>0</v>
      </c>
      <c r="C1015">
        <f t="shared" ca="1" si="81"/>
        <v>0</v>
      </c>
      <c r="D1015" t="s">
        <v>368</v>
      </c>
      <c r="E1015" t="s">
        <v>27</v>
      </c>
      <c r="F1015">
        <v>300</v>
      </c>
      <c r="G1015" t="s">
        <v>85</v>
      </c>
      <c r="H1015" t="s">
        <v>137</v>
      </c>
      <c r="I1015" t="s">
        <v>187</v>
      </c>
      <c r="J1015" t="s">
        <v>368</v>
      </c>
      <c r="K1015" t="s">
        <v>31</v>
      </c>
      <c r="L1015" t="s">
        <v>2116</v>
      </c>
      <c r="M1015">
        <v>6000</v>
      </c>
      <c r="N1015">
        <v>305</v>
      </c>
      <c r="O1015">
        <v>5121168</v>
      </c>
      <c r="P1015">
        <v>26983</v>
      </c>
      <c r="Q1015" t="s">
        <v>2117</v>
      </c>
      <c r="R1015">
        <v>6600</v>
      </c>
      <c r="T1015">
        <v>6600</v>
      </c>
      <c r="U1015" t="s">
        <v>40</v>
      </c>
      <c r="V1015" s="1">
        <v>46280</v>
      </c>
      <c r="W1015" s="1">
        <v>46295</v>
      </c>
      <c r="X1015" t="s">
        <v>2118</v>
      </c>
    </row>
    <row r="1016" spans="1:24" x14ac:dyDescent="0.25">
      <c r="A1016">
        <f t="shared" ca="1" si="80"/>
        <v>0</v>
      </c>
      <c r="C1016">
        <f t="shared" ca="1" si="81"/>
        <v>0</v>
      </c>
      <c r="D1016" t="s">
        <v>285</v>
      </c>
      <c r="E1016" t="s">
        <v>27</v>
      </c>
      <c r="F1016">
        <v>300</v>
      </c>
      <c r="G1016" t="s">
        <v>85</v>
      </c>
      <c r="H1016" t="s">
        <v>1356</v>
      </c>
      <c r="I1016" t="s">
        <v>187</v>
      </c>
      <c r="J1016" t="s">
        <v>285</v>
      </c>
      <c r="K1016" t="s">
        <v>31</v>
      </c>
      <c r="L1016" t="s">
        <v>2119</v>
      </c>
      <c r="M1016">
        <v>4000</v>
      </c>
      <c r="N1016">
        <v>306</v>
      </c>
      <c r="X1016" t="s">
        <v>2118</v>
      </c>
    </row>
    <row r="1017" spans="1:24" x14ac:dyDescent="0.25">
      <c r="A1017">
        <f t="shared" ca="1" si="80"/>
        <v>0</v>
      </c>
      <c r="C1017">
        <f t="shared" ca="1" si="81"/>
        <v>0</v>
      </c>
      <c r="D1017" t="s">
        <v>285</v>
      </c>
      <c r="E1017" t="s">
        <v>27</v>
      </c>
      <c r="F1017">
        <v>305</v>
      </c>
      <c r="G1017" t="s">
        <v>28</v>
      </c>
      <c r="H1017" t="s">
        <v>2120</v>
      </c>
      <c r="I1017" t="s">
        <v>187</v>
      </c>
      <c r="J1017" t="s">
        <v>285</v>
      </c>
      <c r="K1017" t="s">
        <v>31</v>
      </c>
      <c r="L1017" t="s">
        <v>2121</v>
      </c>
      <c r="M1017">
        <v>6000</v>
      </c>
      <c r="N1017">
        <v>307</v>
      </c>
      <c r="X1017" t="s">
        <v>1555</v>
      </c>
    </row>
    <row r="1018" spans="1:24" x14ac:dyDescent="0.25">
      <c r="A1018">
        <f t="shared" ca="1" si="80"/>
        <v>0</v>
      </c>
      <c r="C1018">
        <f t="shared" ca="1" si="81"/>
        <v>0</v>
      </c>
      <c r="D1018" t="s">
        <v>368</v>
      </c>
      <c r="E1018" t="s">
        <v>27</v>
      </c>
      <c r="F1018">
        <v>345</v>
      </c>
      <c r="G1018" t="s">
        <v>75</v>
      </c>
      <c r="H1018" t="s">
        <v>2122</v>
      </c>
      <c r="I1018" t="s">
        <v>187</v>
      </c>
      <c r="J1018" t="s">
        <v>368</v>
      </c>
      <c r="K1018" t="s">
        <v>31</v>
      </c>
      <c r="L1018" t="s">
        <v>2123</v>
      </c>
      <c r="M1018">
        <v>5000</v>
      </c>
      <c r="N1018">
        <v>309</v>
      </c>
      <c r="O1018">
        <v>5056770</v>
      </c>
      <c r="P1018">
        <v>16262</v>
      </c>
      <c r="Q1018" t="s">
        <v>697</v>
      </c>
      <c r="R1018">
        <v>8030</v>
      </c>
      <c r="T1018">
        <v>8030</v>
      </c>
      <c r="U1018" t="s">
        <v>40</v>
      </c>
      <c r="V1018" s="1">
        <v>46127</v>
      </c>
      <c r="W1018" s="1">
        <v>46157</v>
      </c>
    </row>
    <row r="1019" spans="1:24" x14ac:dyDescent="0.25">
      <c r="A1019">
        <f t="shared" ca="1" si="80"/>
        <v>0</v>
      </c>
      <c r="C1019">
        <f t="shared" ca="1" si="81"/>
        <v>0</v>
      </c>
      <c r="D1019" t="s">
        <v>285</v>
      </c>
      <c r="E1019" t="s">
        <v>27</v>
      </c>
      <c r="F1019">
        <v>351</v>
      </c>
      <c r="G1019" t="s">
        <v>28</v>
      </c>
      <c r="H1019" t="s">
        <v>2124</v>
      </c>
      <c r="I1019" t="s">
        <v>187</v>
      </c>
      <c r="J1019" t="s">
        <v>285</v>
      </c>
      <c r="K1019" t="s">
        <v>31</v>
      </c>
      <c r="L1019" t="s">
        <v>2125</v>
      </c>
      <c r="M1019">
        <v>5000</v>
      </c>
      <c r="N1019">
        <v>310</v>
      </c>
      <c r="O1019">
        <v>5082657</v>
      </c>
      <c r="P1019">
        <v>14203</v>
      </c>
      <c r="Q1019" t="s">
        <v>1189</v>
      </c>
      <c r="R1019">
        <v>2763.56</v>
      </c>
      <c r="S1019">
        <v>2763.56</v>
      </c>
      <c r="T1019">
        <v>0</v>
      </c>
      <c r="U1019" t="s">
        <v>34</v>
      </c>
      <c r="V1019" s="1">
        <v>46266</v>
      </c>
      <c r="W1019" s="1">
        <v>46280</v>
      </c>
      <c r="X1019" t="s">
        <v>2126</v>
      </c>
    </row>
    <row r="1020" spans="1:24" x14ac:dyDescent="0.25">
      <c r="A1020">
        <f t="shared" ca="1" si="80"/>
        <v>0</v>
      </c>
      <c r="C1020">
        <f t="shared" ca="1" si="81"/>
        <v>0</v>
      </c>
      <c r="D1020" t="s">
        <v>196</v>
      </c>
      <c r="E1020" t="s">
        <v>27</v>
      </c>
      <c r="F1020">
        <v>361</v>
      </c>
      <c r="G1020" t="s">
        <v>114</v>
      </c>
      <c r="H1020" t="s">
        <v>2127</v>
      </c>
      <c r="I1020" t="s">
        <v>187</v>
      </c>
      <c r="J1020" t="s">
        <v>196</v>
      </c>
      <c r="K1020" t="s">
        <v>31</v>
      </c>
      <c r="L1020" t="s">
        <v>1603</v>
      </c>
      <c r="M1020">
        <v>5000</v>
      </c>
      <c r="N1020">
        <v>312</v>
      </c>
      <c r="O1020">
        <v>5082106</v>
      </c>
      <c r="P1020">
        <v>7111</v>
      </c>
      <c r="Q1020" t="s">
        <v>754</v>
      </c>
      <c r="R1020">
        <v>3190.8</v>
      </c>
      <c r="T1020">
        <v>3190.8</v>
      </c>
      <c r="U1020" t="s">
        <v>40</v>
      </c>
      <c r="V1020" s="1">
        <v>46264</v>
      </c>
      <c r="W1020" s="1">
        <v>46280</v>
      </c>
      <c r="X1020" t="s">
        <v>1604</v>
      </c>
    </row>
    <row r="1021" spans="1:24" x14ac:dyDescent="0.25">
      <c r="A1021">
        <f t="shared" ca="1" si="80"/>
        <v>0</v>
      </c>
      <c r="C1021">
        <f t="shared" ca="1" si="81"/>
        <v>0</v>
      </c>
      <c r="D1021" t="s">
        <v>183</v>
      </c>
      <c r="E1021" t="s">
        <v>27</v>
      </c>
      <c r="F1021">
        <v>373</v>
      </c>
      <c r="G1021" t="s">
        <v>75</v>
      </c>
      <c r="H1021" t="s">
        <v>2128</v>
      </c>
      <c r="I1021" t="s">
        <v>187</v>
      </c>
      <c r="J1021" t="s">
        <v>183</v>
      </c>
      <c r="K1021" t="s">
        <v>31</v>
      </c>
      <c r="L1021" t="s">
        <v>2129</v>
      </c>
      <c r="M1021">
        <v>5000</v>
      </c>
      <c r="N1021">
        <v>313</v>
      </c>
      <c r="O1021">
        <v>5027034</v>
      </c>
      <c r="P1021">
        <v>16262</v>
      </c>
      <c r="Q1021" t="s">
        <v>697</v>
      </c>
      <c r="R1021">
        <v>15213</v>
      </c>
      <c r="S1021">
        <v>15213</v>
      </c>
      <c r="T1021">
        <v>0</v>
      </c>
      <c r="U1021" t="s">
        <v>34</v>
      </c>
      <c r="V1021" s="1">
        <v>46106</v>
      </c>
      <c r="W1021" s="1">
        <v>46113</v>
      </c>
    </row>
    <row r="1022" spans="1:24" x14ac:dyDescent="0.25">
      <c r="A1022">
        <f t="shared" ca="1" si="80"/>
        <v>0</v>
      </c>
      <c r="C1022">
        <f t="shared" ca="1" si="81"/>
        <v>0</v>
      </c>
      <c r="D1022" t="s">
        <v>196</v>
      </c>
      <c r="E1022" t="s">
        <v>27</v>
      </c>
      <c r="F1022">
        <v>373</v>
      </c>
      <c r="G1022" t="s">
        <v>75</v>
      </c>
      <c r="H1022" t="s">
        <v>758</v>
      </c>
      <c r="I1022" t="s">
        <v>187</v>
      </c>
      <c r="J1022" t="s">
        <v>196</v>
      </c>
      <c r="K1022" t="s">
        <v>31</v>
      </c>
      <c r="L1022" t="s">
        <v>2130</v>
      </c>
      <c r="M1022">
        <v>6000</v>
      </c>
      <c r="N1022">
        <v>314</v>
      </c>
      <c r="O1022">
        <v>5079348</v>
      </c>
      <c r="P1022">
        <v>7111</v>
      </c>
      <c r="Q1022" t="s">
        <v>754</v>
      </c>
    </row>
    <row r="1023" spans="1:24" x14ac:dyDescent="0.25">
      <c r="A1023">
        <f t="shared" ca="1" si="80"/>
        <v>0</v>
      </c>
      <c r="C1023">
        <f t="shared" ca="1" si="81"/>
        <v>0</v>
      </c>
      <c r="D1023" t="s">
        <v>196</v>
      </c>
      <c r="E1023" t="s">
        <v>27</v>
      </c>
      <c r="F1023">
        <v>538</v>
      </c>
      <c r="G1023" t="s">
        <v>114</v>
      </c>
      <c r="H1023" t="s">
        <v>2131</v>
      </c>
      <c r="I1023" t="s">
        <v>187</v>
      </c>
      <c r="J1023" t="s">
        <v>196</v>
      </c>
      <c r="K1023" t="s">
        <v>31</v>
      </c>
      <c r="L1023" t="s">
        <v>2132</v>
      </c>
      <c r="M1023">
        <v>3000</v>
      </c>
      <c r="N1023">
        <v>315</v>
      </c>
      <c r="X1023" t="s">
        <v>1604</v>
      </c>
    </row>
    <row r="1024" spans="1:24" x14ac:dyDescent="0.25">
      <c r="A1024">
        <f t="shared" ca="1" si="80"/>
        <v>0</v>
      </c>
      <c r="C1024">
        <f t="shared" ca="1" si="81"/>
        <v>0</v>
      </c>
      <c r="D1024" t="s">
        <v>285</v>
      </c>
      <c r="E1024" t="s">
        <v>27</v>
      </c>
      <c r="F1024">
        <v>540</v>
      </c>
      <c r="G1024" t="s">
        <v>36</v>
      </c>
      <c r="H1024" t="s">
        <v>2133</v>
      </c>
      <c r="I1024" t="s">
        <v>187</v>
      </c>
      <c r="J1024" t="s">
        <v>285</v>
      </c>
      <c r="K1024" t="s">
        <v>31</v>
      </c>
      <c r="L1024" t="s">
        <v>2134</v>
      </c>
      <c r="M1024">
        <v>4000</v>
      </c>
      <c r="N1024">
        <v>316</v>
      </c>
      <c r="O1024">
        <v>5079227</v>
      </c>
      <c r="P1024">
        <v>7111</v>
      </c>
      <c r="Q1024" t="s">
        <v>754</v>
      </c>
      <c r="R1024">
        <v>4208.3999999999996</v>
      </c>
      <c r="S1024">
        <v>4208.3999999999996</v>
      </c>
      <c r="T1024">
        <v>0</v>
      </c>
      <c r="U1024" t="s">
        <v>34</v>
      </c>
      <c r="V1024" s="1">
        <v>46174</v>
      </c>
      <c r="W1024" s="1">
        <v>46178</v>
      </c>
      <c r="X1024" t="s">
        <v>1604</v>
      </c>
    </row>
    <row r="1025" spans="1:26" x14ac:dyDescent="0.25">
      <c r="A1025">
        <f t="shared" ca="1" si="80"/>
        <v>0</v>
      </c>
      <c r="C1025">
        <f t="shared" ca="1" si="81"/>
        <v>0</v>
      </c>
      <c r="D1025" t="s">
        <v>196</v>
      </c>
      <c r="E1025" t="s">
        <v>27</v>
      </c>
      <c r="F1025">
        <v>604</v>
      </c>
      <c r="G1025" t="s">
        <v>70</v>
      </c>
      <c r="H1025" t="s">
        <v>2135</v>
      </c>
      <c r="I1025" t="s">
        <v>187</v>
      </c>
      <c r="J1025" t="s">
        <v>196</v>
      </c>
      <c r="K1025" t="s">
        <v>31</v>
      </c>
      <c r="L1025" t="s">
        <v>2136</v>
      </c>
      <c r="M1025">
        <v>5000</v>
      </c>
      <c r="N1025">
        <v>317</v>
      </c>
      <c r="O1025">
        <v>5108204</v>
      </c>
      <c r="P1025">
        <v>836</v>
      </c>
      <c r="Q1025" t="s">
        <v>1725</v>
      </c>
      <c r="R1025">
        <v>2005.66</v>
      </c>
      <c r="T1025">
        <v>2005.66</v>
      </c>
      <c r="U1025" t="s">
        <v>40</v>
      </c>
      <c r="V1025" s="1">
        <v>46266</v>
      </c>
      <c r="W1025" s="1">
        <v>46280</v>
      </c>
    </row>
    <row r="1026" spans="1:26" x14ac:dyDescent="0.25">
      <c r="A1026">
        <f t="shared" ca="1" si="80"/>
        <v>0</v>
      </c>
      <c r="C1026">
        <f t="shared" ca="1" si="81"/>
        <v>0</v>
      </c>
      <c r="D1026" t="s">
        <v>183</v>
      </c>
      <c r="E1026" t="s">
        <v>27</v>
      </c>
      <c r="F1026">
        <v>662</v>
      </c>
      <c r="G1026" t="s">
        <v>85</v>
      </c>
      <c r="H1026" t="s">
        <v>2137</v>
      </c>
      <c r="I1026" t="s">
        <v>187</v>
      </c>
      <c r="J1026" t="s">
        <v>183</v>
      </c>
      <c r="K1026" t="s">
        <v>31</v>
      </c>
      <c r="L1026" t="s">
        <v>2138</v>
      </c>
      <c r="M1026">
        <v>5000</v>
      </c>
      <c r="N1026">
        <v>318</v>
      </c>
      <c r="X1026" t="s">
        <v>1839</v>
      </c>
    </row>
    <row r="1027" spans="1:26" x14ac:dyDescent="0.25">
      <c r="A1027">
        <f t="shared" ca="1" si="80"/>
        <v>0</v>
      </c>
      <c r="C1027">
        <f t="shared" ca="1" si="81"/>
        <v>0</v>
      </c>
      <c r="D1027" t="s">
        <v>285</v>
      </c>
      <c r="E1027" t="s">
        <v>27</v>
      </c>
      <c r="F1027">
        <v>696</v>
      </c>
      <c r="G1027" t="s">
        <v>28</v>
      </c>
      <c r="H1027" t="s">
        <v>2139</v>
      </c>
      <c r="I1027" t="s">
        <v>187</v>
      </c>
      <c r="J1027" t="s">
        <v>285</v>
      </c>
      <c r="K1027" t="s">
        <v>31</v>
      </c>
      <c r="L1027" t="s">
        <v>2140</v>
      </c>
      <c r="M1027">
        <v>8000</v>
      </c>
      <c r="N1027">
        <v>319</v>
      </c>
      <c r="O1027">
        <v>5050067</v>
      </c>
      <c r="P1027">
        <v>3718</v>
      </c>
      <c r="Q1027" t="s">
        <v>113</v>
      </c>
      <c r="R1027">
        <v>10867.77</v>
      </c>
      <c r="S1027">
        <v>10867.77</v>
      </c>
      <c r="T1027">
        <v>0</v>
      </c>
      <c r="U1027" t="s">
        <v>34</v>
      </c>
      <c r="V1027" s="1">
        <v>46117</v>
      </c>
      <c r="W1027" s="1">
        <v>46142</v>
      </c>
    </row>
    <row r="1028" spans="1:26" x14ac:dyDescent="0.25">
      <c r="A1028">
        <f t="shared" ca="1" si="80"/>
        <v>0</v>
      </c>
      <c r="C1028">
        <f t="shared" ca="1" si="81"/>
        <v>0</v>
      </c>
      <c r="D1028" t="s">
        <v>285</v>
      </c>
      <c r="E1028" t="s">
        <v>27</v>
      </c>
      <c r="F1028">
        <v>765</v>
      </c>
      <c r="G1028" t="s">
        <v>70</v>
      </c>
      <c r="H1028" t="s">
        <v>2141</v>
      </c>
      <c r="I1028" t="s">
        <v>187</v>
      </c>
      <c r="J1028" t="s">
        <v>285</v>
      </c>
      <c r="K1028" t="s">
        <v>31</v>
      </c>
      <c r="L1028" t="s">
        <v>2142</v>
      </c>
      <c r="M1028">
        <v>6000</v>
      </c>
      <c r="N1028">
        <v>321</v>
      </c>
      <c r="X1028" t="s">
        <v>655</v>
      </c>
    </row>
    <row r="1029" spans="1:26" x14ac:dyDescent="0.25">
      <c r="A1029">
        <f t="shared" ca="1" si="80"/>
        <v>0</v>
      </c>
      <c r="C1029">
        <f t="shared" ca="1" si="81"/>
        <v>0</v>
      </c>
      <c r="D1029" t="s">
        <v>285</v>
      </c>
      <c r="E1029" t="s">
        <v>27</v>
      </c>
      <c r="F1029">
        <v>1135</v>
      </c>
      <c r="G1029" t="s">
        <v>75</v>
      </c>
      <c r="H1029" t="s">
        <v>2143</v>
      </c>
      <c r="I1029" t="s">
        <v>187</v>
      </c>
      <c r="J1029" t="s">
        <v>285</v>
      </c>
      <c r="K1029" t="s">
        <v>31</v>
      </c>
      <c r="L1029" t="s">
        <v>2144</v>
      </c>
      <c r="M1029">
        <v>3000</v>
      </c>
      <c r="N1029">
        <v>323</v>
      </c>
      <c r="O1029">
        <v>5089780</v>
      </c>
      <c r="P1029">
        <v>8302</v>
      </c>
      <c r="Q1029" t="s">
        <v>1361</v>
      </c>
      <c r="R1029">
        <v>3124.22</v>
      </c>
      <c r="S1029">
        <v>3124.22</v>
      </c>
      <c r="T1029">
        <v>0</v>
      </c>
      <c r="U1029" t="s">
        <v>34</v>
      </c>
      <c r="V1029" s="1">
        <v>46203</v>
      </c>
      <c r="W1029" s="1">
        <v>46203</v>
      </c>
      <c r="X1029" t="s">
        <v>1361</v>
      </c>
    </row>
    <row r="1030" spans="1:26" x14ac:dyDescent="0.25">
      <c r="A1030">
        <f t="shared" ca="1" si="80"/>
        <v>0</v>
      </c>
      <c r="C1030">
        <f t="shared" ca="1" si="81"/>
        <v>0</v>
      </c>
      <c r="D1030" t="s">
        <v>221</v>
      </c>
      <c r="E1030" t="s">
        <v>27</v>
      </c>
      <c r="F1030">
        <v>2039</v>
      </c>
      <c r="G1030" t="s">
        <v>28</v>
      </c>
      <c r="H1030" t="s">
        <v>2145</v>
      </c>
      <c r="I1030" t="s">
        <v>187</v>
      </c>
      <c r="J1030" t="s">
        <v>221</v>
      </c>
      <c r="K1030" t="s">
        <v>31</v>
      </c>
      <c r="L1030" t="s">
        <v>2146</v>
      </c>
      <c r="M1030">
        <v>4000</v>
      </c>
      <c r="N1030">
        <v>324</v>
      </c>
      <c r="O1030">
        <v>5034650</v>
      </c>
      <c r="P1030">
        <v>4061</v>
      </c>
      <c r="Q1030" t="s">
        <v>310</v>
      </c>
      <c r="R1030">
        <v>5130.37</v>
      </c>
      <c r="S1030">
        <v>5130.37</v>
      </c>
      <c r="T1030">
        <v>0</v>
      </c>
      <c r="U1030" t="s">
        <v>34</v>
      </c>
      <c r="V1030" s="1">
        <v>46083</v>
      </c>
      <c r="W1030" s="1">
        <v>46096</v>
      </c>
    </row>
    <row r="1031" spans="1:26" x14ac:dyDescent="0.25">
      <c r="A1031">
        <f t="shared" ca="1" si="80"/>
        <v>0</v>
      </c>
      <c r="C1031">
        <f t="shared" ca="1" si="81"/>
        <v>0</v>
      </c>
      <c r="D1031" t="s">
        <v>285</v>
      </c>
      <c r="E1031" t="s">
        <v>27</v>
      </c>
      <c r="F1031">
        <v>2064</v>
      </c>
      <c r="G1031" t="s">
        <v>36</v>
      </c>
      <c r="H1031" t="s">
        <v>2147</v>
      </c>
    </row>
    <row r="1032" spans="1:26" x14ac:dyDescent="0.25">
      <c r="A1032" t="s">
        <v>2148</v>
      </c>
    </row>
    <row r="1033" spans="1:26" x14ac:dyDescent="0.25">
      <c r="A1033" t="s">
        <v>2149</v>
      </c>
      <c r="B1033" t="s">
        <v>187</v>
      </c>
      <c r="C1033" t="s">
        <v>285</v>
      </c>
      <c r="D1033" t="s">
        <v>31</v>
      </c>
      <c r="E1033" t="s">
        <v>2150</v>
      </c>
      <c r="F1033">
        <v>8000</v>
      </c>
      <c r="G1033">
        <v>325</v>
      </c>
      <c r="H1033">
        <v>5039992</v>
      </c>
      <c r="I1033">
        <v>15542</v>
      </c>
      <c r="J1033" t="s">
        <v>1259</v>
      </c>
      <c r="K1033">
        <v>5027</v>
      </c>
      <c r="L1033">
        <v>5027</v>
      </c>
      <c r="M1033">
        <v>0</v>
      </c>
      <c r="N1033" t="s">
        <v>34</v>
      </c>
      <c r="O1033" s="1">
        <v>46096</v>
      </c>
      <c r="P1033" s="1">
        <v>46111</v>
      </c>
    </row>
    <row r="1034" spans="1:26" x14ac:dyDescent="0.25">
      <c r="A1034">
        <f t="shared" ref="A1034:A1050" ca="1" si="82">+ Cmde</f>
        <v>0</v>
      </c>
      <c r="C1034">
        <f t="shared" ref="C1034:C1050" ca="1" si="83">+ Devis</f>
        <v>0</v>
      </c>
      <c r="D1034" t="s">
        <v>221</v>
      </c>
      <c r="E1034" t="s">
        <v>27</v>
      </c>
      <c r="F1034">
        <v>2160</v>
      </c>
      <c r="G1034" t="s">
        <v>28</v>
      </c>
      <c r="H1034" t="s">
        <v>2151</v>
      </c>
      <c r="I1034" t="s">
        <v>187</v>
      </c>
      <c r="J1034" t="s">
        <v>221</v>
      </c>
      <c r="K1034" t="s">
        <v>31</v>
      </c>
      <c r="L1034" t="s">
        <v>2146</v>
      </c>
      <c r="M1034">
        <v>5000</v>
      </c>
      <c r="N1034">
        <v>326</v>
      </c>
      <c r="O1034">
        <v>5034694</v>
      </c>
      <c r="P1034">
        <v>4061</v>
      </c>
      <c r="Q1034" t="s">
        <v>310</v>
      </c>
      <c r="R1034">
        <v>10377.64</v>
      </c>
      <c r="S1034">
        <v>10377.64</v>
      </c>
      <c r="T1034">
        <v>0</v>
      </c>
      <c r="U1034" t="s">
        <v>34</v>
      </c>
      <c r="V1034" s="1">
        <v>46113</v>
      </c>
      <c r="W1034" s="1">
        <v>46142</v>
      </c>
    </row>
    <row r="1035" spans="1:26" x14ac:dyDescent="0.25">
      <c r="A1035">
        <f t="shared" ca="1" si="82"/>
        <v>0</v>
      </c>
      <c r="C1035">
        <f t="shared" ca="1" si="83"/>
        <v>0</v>
      </c>
      <c r="D1035" t="s">
        <v>41</v>
      </c>
      <c r="E1035" t="s">
        <v>27</v>
      </c>
      <c r="F1035">
        <v>180</v>
      </c>
      <c r="G1035" t="s">
        <v>36</v>
      </c>
      <c r="H1035" t="s">
        <v>2152</v>
      </c>
      <c r="I1035" t="s">
        <v>44</v>
      </c>
      <c r="J1035" t="s">
        <v>41</v>
      </c>
      <c r="K1035" t="s">
        <v>31</v>
      </c>
      <c r="L1035" t="s">
        <v>1263</v>
      </c>
      <c r="M1035">
        <v>10000</v>
      </c>
      <c r="N1035">
        <v>327</v>
      </c>
      <c r="O1035">
        <v>5040576</v>
      </c>
      <c r="P1035">
        <v>4146</v>
      </c>
      <c r="Q1035" t="s">
        <v>91</v>
      </c>
      <c r="R1035">
        <v>18483.080000000002</v>
      </c>
      <c r="T1035">
        <v>18483.080000000002</v>
      </c>
      <c r="U1035" t="s">
        <v>40</v>
      </c>
      <c r="V1035" s="1">
        <v>46183</v>
      </c>
      <c r="W1035" s="1">
        <v>46203</v>
      </c>
    </row>
    <row r="1036" spans="1:26" x14ac:dyDescent="0.25">
      <c r="A1036">
        <f t="shared" ca="1" si="82"/>
        <v>0</v>
      </c>
      <c r="C1036">
        <f t="shared" ca="1" si="83"/>
        <v>0</v>
      </c>
      <c r="D1036" t="s">
        <v>209</v>
      </c>
      <c r="E1036" t="s">
        <v>27</v>
      </c>
      <c r="F1036">
        <v>181</v>
      </c>
      <c r="G1036" t="s">
        <v>70</v>
      </c>
      <c r="H1036" t="s">
        <v>2153</v>
      </c>
      <c r="I1036" t="s">
        <v>44</v>
      </c>
      <c r="J1036" t="s">
        <v>209</v>
      </c>
      <c r="K1036" t="s">
        <v>31</v>
      </c>
      <c r="L1036" t="s">
        <v>2154</v>
      </c>
      <c r="M1036">
        <v>6000</v>
      </c>
      <c r="N1036">
        <v>328</v>
      </c>
      <c r="X1036" t="s">
        <v>175</v>
      </c>
    </row>
    <row r="1037" spans="1:26" x14ac:dyDescent="0.25">
      <c r="A1037">
        <f t="shared" ca="1" si="82"/>
        <v>0</v>
      </c>
      <c r="C1037">
        <f t="shared" ca="1" si="83"/>
        <v>0</v>
      </c>
      <c r="D1037" t="s">
        <v>41</v>
      </c>
      <c r="E1037" t="s">
        <v>27</v>
      </c>
      <c r="F1037">
        <v>181</v>
      </c>
      <c r="G1037" t="s">
        <v>70</v>
      </c>
      <c r="H1037" t="s">
        <v>2155</v>
      </c>
      <c r="I1037" t="s">
        <v>44</v>
      </c>
      <c r="J1037" t="s">
        <v>41</v>
      </c>
      <c r="K1037" t="s">
        <v>31</v>
      </c>
      <c r="L1037" t="s">
        <v>2156</v>
      </c>
      <c r="M1037">
        <v>5000</v>
      </c>
      <c r="N1037">
        <v>329</v>
      </c>
      <c r="O1037">
        <v>5045097</v>
      </c>
      <c r="P1037">
        <v>4146</v>
      </c>
      <c r="Q1037" t="s">
        <v>91</v>
      </c>
      <c r="R1037">
        <v>10634.36</v>
      </c>
      <c r="S1037">
        <v>10634.36</v>
      </c>
      <c r="T1037">
        <v>0</v>
      </c>
      <c r="U1037" t="s">
        <v>34</v>
      </c>
      <c r="V1037" s="1">
        <v>46116</v>
      </c>
      <c r="W1037" s="1">
        <v>46132</v>
      </c>
    </row>
    <row r="1038" spans="1:26" x14ac:dyDescent="0.25">
      <c r="A1038">
        <f t="shared" ca="1" si="82"/>
        <v>0</v>
      </c>
      <c r="C1038">
        <f t="shared" ca="1" si="83"/>
        <v>0</v>
      </c>
      <c r="D1038" t="s">
        <v>221</v>
      </c>
      <c r="E1038" t="s">
        <v>250</v>
      </c>
      <c r="F1038">
        <v>1911</v>
      </c>
      <c r="G1038" t="s">
        <v>996</v>
      </c>
      <c r="H1038" t="s">
        <v>1003</v>
      </c>
      <c r="I1038" t="s">
        <v>187</v>
      </c>
      <c r="J1038" t="s">
        <v>221</v>
      </c>
      <c r="K1038" t="s">
        <v>253</v>
      </c>
      <c r="L1038" t="s">
        <v>993</v>
      </c>
      <c r="M1038">
        <v>7100</v>
      </c>
      <c r="N1038">
        <v>712</v>
      </c>
      <c r="O1038">
        <v>5051960</v>
      </c>
      <c r="P1038">
        <v>7941</v>
      </c>
      <c r="Q1038" t="s">
        <v>994</v>
      </c>
      <c r="R1038">
        <v>6526.81</v>
      </c>
      <c r="S1038">
        <v>6526.81</v>
      </c>
      <c r="T1038">
        <v>0</v>
      </c>
      <c r="U1038" t="s">
        <v>34</v>
      </c>
      <c r="V1038" s="1">
        <v>46118</v>
      </c>
      <c r="W1038" s="1">
        <v>46132</v>
      </c>
    </row>
    <row r="1039" spans="1:26" x14ac:dyDescent="0.25">
      <c r="A1039">
        <f t="shared" ca="1" si="82"/>
        <v>0</v>
      </c>
      <c r="C1039">
        <f t="shared" ca="1" si="83"/>
        <v>0</v>
      </c>
      <c r="D1039" t="s">
        <v>95</v>
      </c>
      <c r="E1039" t="s">
        <v>184</v>
      </c>
      <c r="F1039">
        <v>1136</v>
      </c>
      <c r="G1039" t="s">
        <v>185</v>
      </c>
      <c r="H1039" t="s">
        <v>2157</v>
      </c>
      <c r="I1039" t="s">
        <v>30</v>
      </c>
      <c r="J1039" t="s">
        <v>95</v>
      </c>
      <c r="K1039" t="s">
        <v>188</v>
      </c>
      <c r="L1039" t="s">
        <v>2158</v>
      </c>
      <c r="M1039">
        <v>55000</v>
      </c>
      <c r="N1039">
        <v>465</v>
      </c>
      <c r="X1039" t="s">
        <v>2159</v>
      </c>
      <c r="Y1039" t="s">
        <v>47</v>
      </c>
      <c r="Z1039" s="1">
        <v>46078</v>
      </c>
    </row>
    <row r="1040" spans="1:26" x14ac:dyDescent="0.25">
      <c r="A1040">
        <f t="shared" ca="1" si="82"/>
        <v>0</v>
      </c>
      <c r="C1040">
        <f t="shared" ca="1" si="83"/>
        <v>0</v>
      </c>
      <c r="D1040" t="s">
        <v>209</v>
      </c>
      <c r="E1040" t="s">
        <v>184</v>
      </c>
      <c r="F1040">
        <v>926</v>
      </c>
      <c r="G1040" t="s">
        <v>185</v>
      </c>
      <c r="H1040" t="s">
        <v>2160</v>
      </c>
      <c r="I1040" t="s">
        <v>44</v>
      </c>
      <c r="J1040" t="s">
        <v>209</v>
      </c>
      <c r="K1040" t="s">
        <v>188</v>
      </c>
      <c r="L1040" t="s">
        <v>2161</v>
      </c>
      <c r="M1040">
        <v>5000</v>
      </c>
      <c r="N1040">
        <v>451</v>
      </c>
      <c r="X1040" t="s">
        <v>869</v>
      </c>
    </row>
    <row r="1041" spans="1:24" x14ac:dyDescent="0.25">
      <c r="A1041">
        <f t="shared" ca="1" si="82"/>
        <v>0</v>
      </c>
      <c r="C1041">
        <f t="shared" ca="1" si="83"/>
        <v>0</v>
      </c>
      <c r="D1041" t="s">
        <v>41</v>
      </c>
      <c r="E1041" t="s">
        <v>58</v>
      </c>
      <c r="F1041">
        <v>1312</v>
      </c>
      <c r="G1041" t="s">
        <v>213</v>
      </c>
      <c r="H1041" t="s">
        <v>1874</v>
      </c>
      <c r="I1041" t="s">
        <v>44</v>
      </c>
      <c r="J1041" t="s">
        <v>41</v>
      </c>
      <c r="K1041" t="s">
        <v>215</v>
      </c>
      <c r="L1041" t="s">
        <v>1875</v>
      </c>
      <c r="M1041">
        <v>12000</v>
      </c>
      <c r="N1041">
        <v>205</v>
      </c>
      <c r="O1041">
        <v>5016128</v>
      </c>
      <c r="P1041">
        <v>4921</v>
      </c>
      <c r="Q1041" t="s">
        <v>94</v>
      </c>
      <c r="R1041">
        <v>12065.77</v>
      </c>
      <c r="S1041">
        <v>12065.77</v>
      </c>
      <c r="T1041">
        <v>0</v>
      </c>
      <c r="U1041" t="s">
        <v>34</v>
      </c>
      <c r="V1041" s="1">
        <v>46069</v>
      </c>
      <c r="W1041" s="1">
        <v>46108</v>
      </c>
      <c r="X1041" t="s">
        <v>2162</v>
      </c>
    </row>
    <row r="1042" spans="1:24" x14ac:dyDescent="0.25">
      <c r="A1042">
        <f t="shared" ca="1" si="82"/>
        <v>0</v>
      </c>
      <c r="C1042">
        <f t="shared" ca="1" si="83"/>
        <v>0</v>
      </c>
      <c r="D1042" t="s">
        <v>35</v>
      </c>
      <c r="E1042" t="s">
        <v>27</v>
      </c>
      <c r="F1042">
        <v>475</v>
      </c>
      <c r="G1042" t="s">
        <v>1078</v>
      </c>
      <c r="H1042" t="s">
        <v>2163</v>
      </c>
      <c r="I1042" t="s">
        <v>30</v>
      </c>
      <c r="J1042" t="s">
        <v>35</v>
      </c>
      <c r="K1042" t="s">
        <v>31</v>
      </c>
      <c r="L1042" t="s">
        <v>2164</v>
      </c>
      <c r="O1042">
        <v>5027605</v>
      </c>
      <c r="P1042">
        <v>6364</v>
      </c>
      <c r="Q1042" t="s">
        <v>331</v>
      </c>
      <c r="R1042">
        <v>2148.75</v>
      </c>
      <c r="T1042">
        <v>2148.75</v>
      </c>
      <c r="U1042" t="s">
        <v>40</v>
      </c>
      <c r="V1042" s="1">
        <v>46063</v>
      </c>
      <c r="W1042" s="1">
        <v>46081</v>
      </c>
    </row>
    <row r="1043" spans="1:24" x14ac:dyDescent="0.25">
      <c r="A1043">
        <f t="shared" ca="1" si="82"/>
        <v>0</v>
      </c>
      <c r="C1043">
        <f t="shared" ca="1" si="83"/>
        <v>0</v>
      </c>
      <c r="D1043" t="s">
        <v>41</v>
      </c>
      <c r="E1043" t="s">
        <v>58</v>
      </c>
      <c r="F1043">
        <v>437</v>
      </c>
      <c r="G1043" t="s">
        <v>602</v>
      </c>
      <c r="H1043" t="s">
        <v>2165</v>
      </c>
      <c r="I1043" t="s">
        <v>44</v>
      </c>
      <c r="J1043" t="s">
        <v>41</v>
      </c>
      <c r="K1043" t="s">
        <v>61</v>
      </c>
      <c r="L1043" t="s">
        <v>2166</v>
      </c>
      <c r="O1043">
        <v>5028073</v>
      </c>
      <c r="P1043">
        <v>8598</v>
      </c>
      <c r="Q1043" t="s">
        <v>78</v>
      </c>
      <c r="R1043">
        <v>671</v>
      </c>
      <c r="S1043">
        <v>671</v>
      </c>
      <c r="T1043">
        <v>0</v>
      </c>
      <c r="U1043" t="s">
        <v>34</v>
      </c>
    </row>
    <row r="1044" spans="1:24" x14ac:dyDescent="0.25">
      <c r="A1044">
        <f t="shared" ca="1" si="82"/>
        <v>0</v>
      </c>
      <c r="C1044">
        <f t="shared" ca="1" si="83"/>
        <v>0</v>
      </c>
      <c r="D1044" t="s">
        <v>26</v>
      </c>
      <c r="E1044" t="s">
        <v>58</v>
      </c>
      <c r="F1044">
        <v>879</v>
      </c>
      <c r="G1044" t="s">
        <v>602</v>
      </c>
      <c r="H1044" t="s">
        <v>2167</v>
      </c>
      <c r="I1044" t="s">
        <v>30</v>
      </c>
      <c r="J1044" t="s">
        <v>26</v>
      </c>
      <c r="K1044" t="s">
        <v>61</v>
      </c>
      <c r="L1044" t="s">
        <v>2168</v>
      </c>
      <c r="O1044">
        <v>5028318</v>
      </c>
      <c r="P1044">
        <v>505</v>
      </c>
      <c r="Q1044" t="s">
        <v>438</v>
      </c>
      <c r="R1044">
        <v>7113.13</v>
      </c>
      <c r="S1044">
        <v>7113.13</v>
      </c>
      <c r="T1044">
        <v>0</v>
      </c>
      <c r="U1044" t="s">
        <v>34</v>
      </c>
      <c r="V1044" s="1">
        <v>46119</v>
      </c>
      <c r="W1044" s="1">
        <v>46142</v>
      </c>
      <c r="X1044" t="s">
        <v>296</v>
      </c>
    </row>
    <row r="1045" spans="1:24" x14ac:dyDescent="0.25">
      <c r="A1045">
        <f t="shared" ca="1" si="82"/>
        <v>0</v>
      </c>
      <c r="C1045">
        <f t="shared" ca="1" si="83"/>
        <v>0</v>
      </c>
      <c r="D1045" t="s">
        <v>203</v>
      </c>
      <c r="E1045" t="s">
        <v>58</v>
      </c>
      <c r="F1045">
        <v>49</v>
      </c>
      <c r="G1045" t="s">
        <v>897</v>
      </c>
      <c r="H1045" t="s">
        <v>2169</v>
      </c>
      <c r="I1045" t="s">
        <v>44</v>
      </c>
      <c r="J1045" t="s">
        <v>203</v>
      </c>
      <c r="K1045" t="s">
        <v>61</v>
      </c>
      <c r="L1045" t="s">
        <v>2170</v>
      </c>
      <c r="O1045">
        <v>5028429</v>
      </c>
      <c r="P1045">
        <v>503</v>
      </c>
      <c r="Q1045" t="s">
        <v>1246</v>
      </c>
      <c r="R1045">
        <v>478.5</v>
      </c>
      <c r="S1045">
        <v>478.5</v>
      </c>
      <c r="T1045">
        <v>0</v>
      </c>
      <c r="U1045" t="s">
        <v>34</v>
      </c>
      <c r="V1045" s="1">
        <v>46107</v>
      </c>
      <c r="W1045" s="1">
        <v>46107</v>
      </c>
      <c r="X1045" t="s">
        <v>296</v>
      </c>
    </row>
    <row r="1046" spans="1:24" x14ac:dyDescent="0.25">
      <c r="A1046">
        <f t="shared" ca="1" si="82"/>
        <v>0</v>
      </c>
      <c r="C1046">
        <f t="shared" ca="1" si="83"/>
        <v>0</v>
      </c>
      <c r="D1046" t="s">
        <v>41</v>
      </c>
      <c r="E1046" t="s">
        <v>58</v>
      </c>
      <c r="F1046">
        <v>235</v>
      </c>
      <c r="G1046" t="s">
        <v>747</v>
      </c>
      <c r="H1046" t="s">
        <v>2171</v>
      </c>
      <c r="I1046" t="s">
        <v>44</v>
      </c>
      <c r="J1046" t="s">
        <v>41</v>
      </c>
      <c r="K1046" t="s">
        <v>61</v>
      </c>
      <c r="L1046" t="s">
        <v>2172</v>
      </c>
      <c r="M1046">
        <v>4000</v>
      </c>
      <c r="N1046">
        <v>223</v>
      </c>
      <c r="O1046">
        <v>5030553</v>
      </c>
      <c r="P1046">
        <v>14203</v>
      </c>
      <c r="Q1046" t="s">
        <v>1189</v>
      </c>
      <c r="R1046">
        <v>3344</v>
      </c>
      <c r="S1046">
        <v>3344</v>
      </c>
      <c r="T1046">
        <v>0</v>
      </c>
      <c r="U1046" t="s">
        <v>34</v>
      </c>
      <c r="V1046" s="1">
        <v>46168</v>
      </c>
      <c r="W1046" s="1">
        <v>46173</v>
      </c>
    </row>
    <row r="1047" spans="1:24" x14ac:dyDescent="0.25">
      <c r="A1047">
        <f t="shared" ca="1" si="82"/>
        <v>0</v>
      </c>
      <c r="C1047">
        <f t="shared" ca="1" si="83"/>
        <v>0</v>
      </c>
      <c r="D1047" t="s">
        <v>221</v>
      </c>
      <c r="E1047" t="s">
        <v>64</v>
      </c>
      <c r="F1047">
        <v>394</v>
      </c>
      <c r="G1047" t="s">
        <v>65</v>
      </c>
      <c r="H1047" t="s">
        <v>2173</v>
      </c>
      <c r="I1047" t="s">
        <v>187</v>
      </c>
      <c r="J1047" t="s">
        <v>221</v>
      </c>
      <c r="K1047" t="s">
        <v>67</v>
      </c>
      <c r="L1047" t="s">
        <v>2174</v>
      </c>
      <c r="O1047">
        <v>5091142</v>
      </c>
      <c r="P1047">
        <v>3587</v>
      </c>
      <c r="Q1047" t="s">
        <v>746</v>
      </c>
      <c r="R1047">
        <v>3940.48</v>
      </c>
      <c r="S1047">
        <v>3940.48</v>
      </c>
      <c r="T1047">
        <v>0</v>
      </c>
      <c r="U1047" t="s">
        <v>34</v>
      </c>
    </row>
    <row r="1048" spans="1:24" x14ac:dyDescent="0.25">
      <c r="A1048">
        <f t="shared" ca="1" si="82"/>
        <v>0</v>
      </c>
      <c r="C1048">
        <f t="shared" ca="1" si="83"/>
        <v>0</v>
      </c>
      <c r="D1048" t="s">
        <v>203</v>
      </c>
      <c r="E1048" t="s">
        <v>445</v>
      </c>
      <c r="F1048">
        <v>2292</v>
      </c>
      <c r="G1048" t="s">
        <v>446</v>
      </c>
      <c r="H1048" t="s">
        <v>2175</v>
      </c>
      <c r="I1048" t="s">
        <v>44</v>
      </c>
      <c r="J1048" t="s">
        <v>203</v>
      </c>
      <c r="K1048" t="s">
        <v>448</v>
      </c>
      <c r="L1048" t="s">
        <v>2176</v>
      </c>
      <c r="M1048">
        <v>20000</v>
      </c>
      <c r="N1048">
        <v>547</v>
      </c>
      <c r="O1048">
        <v>5063935</v>
      </c>
      <c r="P1048">
        <v>8168</v>
      </c>
      <c r="Q1048" t="s">
        <v>385</v>
      </c>
      <c r="R1048">
        <v>19166.509999999998</v>
      </c>
      <c r="S1048">
        <v>19166.509999999998</v>
      </c>
      <c r="T1048">
        <v>0</v>
      </c>
      <c r="U1048" t="s">
        <v>34</v>
      </c>
    </row>
    <row r="1049" spans="1:24" x14ac:dyDescent="0.25">
      <c r="A1049">
        <f t="shared" ca="1" si="82"/>
        <v>0</v>
      </c>
      <c r="C1049">
        <f t="shared" ca="1" si="83"/>
        <v>0</v>
      </c>
      <c r="D1049" t="s">
        <v>57</v>
      </c>
      <c r="E1049" t="s">
        <v>27</v>
      </c>
      <c r="F1049">
        <v>194</v>
      </c>
      <c r="G1049" t="s">
        <v>70</v>
      </c>
      <c r="H1049" t="s">
        <v>2177</v>
      </c>
      <c r="I1049" t="s">
        <v>44</v>
      </c>
      <c r="J1049" t="s">
        <v>57</v>
      </c>
      <c r="K1049" t="s">
        <v>31</v>
      </c>
      <c r="L1049" t="s">
        <v>270</v>
      </c>
      <c r="M1049">
        <v>8000</v>
      </c>
      <c r="N1049">
        <v>331</v>
      </c>
      <c r="X1049" t="s">
        <v>271</v>
      </c>
    </row>
    <row r="1050" spans="1:24" x14ac:dyDescent="0.25">
      <c r="A1050">
        <f t="shared" ca="1" si="82"/>
        <v>0</v>
      </c>
      <c r="C1050">
        <f t="shared" ca="1" si="83"/>
        <v>0</v>
      </c>
      <c r="D1050" t="s">
        <v>41</v>
      </c>
      <c r="E1050" t="s">
        <v>27</v>
      </c>
      <c r="F1050">
        <v>204</v>
      </c>
      <c r="G1050" t="s">
        <v>36</v>
      </c>
      <c r="H1050" t="s">
        <v>2178</v>
      </c>
    </row>
    <row r="1051" spans="1:24" x14ac:dyDescent="0.25">
      <c r="A1051" t="s">
        <v>2179</v>
      </c>
      <c r="B1051" t="s">
        <v>44</v>
      </c>
      <c r="C1051" t="s">
        <v>41</v>
      </c>
      <c r="D1051" t="s">
        <v>31</v>
      </c>
      <c r="E1051" t="s">
        <v>2180</v>
      </c>
      <c r="F1051">
        <v>10000</v>
      </c>
      <c r="G1051">
        <v>332</v>
      </c>
      <c r="H1051">
        <v>5045434</v>
      </c>
      <c r="I1051">
        <v>25204</v>
      </c>
      <c r="J1051" t="s">
        <v>46</v>
      </c>
      <c r="K1051">
        <v>22009.85</v>
      </c>
      <c r="L1051">
        <v>22009.85</v>
      </c>
      <c r="M1051">
        <v>0</v>
      </c>
      <c r="N1051" t="s">
        <v>34</v>
      </c>
      <c r="O1051" s="1">
        <v>46143</v>
      </c>
      <c r="P1051" s="1">
        <v>46174</v>
      </c>
    </row>
    <row r="1052" spans="1:24" x14ac:dyDescent="0.25">
      <c r="A1052">
        <f t="shared" ref="A1052:A1081" ca="1" si="84">+ Cmde</f>
        <v>0</v>
      </c>
      <c r="C1052">
        <f t="shared" ref="C1052:C1081" ca="1" si="85">+ Devis</f>
        <v>0</v>
      </c>
      <c r="D1052" t="s">
        <v>57</v>
      </c>
      <c r="E1052" t="s">
        <v>27</v>
      </c>
      <c r="F1052">
        <v>269</v>
      </c>
      <c r="G1052" t="s">
        <v>85</v>
      </c>
      <c r="H1052" t="s">
        <v>2181</v>
      </c>
      <c r="I1052" t="s">
        <v>44</v>
      </c>
      <c r="J1052" t="s">
        <v>57</v>
      </c>
      <c r="K1052" t="s">
        <v>31</v>
      </c>
      <c r="L1052" t="s">
        <v>2182</v>
      </c>
      <c r="M1052">
        <v>10000</v>
      </c>
      <c r="N1052">
        <v>333</v>
      </c>
      <c r="O1052">
        <v>5068027</v>
      </c>
      <c r="P1052">
        <v>15542</v>
      </c>
      <c r="Q1052" t="s">
        <v>1259</v>
      </c>
      <c r="R1052">
        <v>0</v>
      </c>
      <c r="T1052">
        <v>0</v>
      </c>
      <c r="U1052" t="s">
        <v>40</v>
      </c>
      <c r="V1052" s="1">
        <v>46157</v>
      </c>
      <c r="W1052" s="1">
        <v>46188</v>
      </c>
    </row>
    <row r="1053" spans="1:24" x14ac:dyDescent="0.25">
      <c r="A1053">
        <f t="shared" ca="1" si="84"/>
        <v>0</v>
      </c>
      <c r="C1053">
        <f t="shared" ca="1" si="85"/>
        <v>0</v>
      </c>
      <c r="D1053" t="s">
        <v>203</v>
      </c>
      <c r="E1053" t="s">
        <v>27</v>
      </c>
      <c r="F1053">
        <v>276</v>
      </c>
      <c r="G1053" t="s">
        <v>75</v>
      </c>
      <c r="H1053" t="s">
        <v>2183</v>
      </c>
      <c r="I1053" t="s">
        <v>44</v>
      </c>
      <c r="J1053" t="s">
        <v>203</v>
      </c>
      <c r="K1053" t="s">
        <v>31</v>
      </c>
      <c r="L1053" t="s">
        <v>2184</v>
      </c>
      <c r="M1053">
        <v>7000</v>
      </c>
      <c r="N1053">
        <v>334</v>
      </c>
      <c r="O1053">
        <v>5051370</v>
      </c>
      <c r="P1053">
        <v>6681</v>
      </c>
      <c r="Q1053" t="s">
        <v>1612</v>
      </c>
      <c r="R1053">
        <v>5020.3999999999996</v>
      </c>
      <c r="S1053">
        <v>5020.3999999999996</v>
      </c>
      <c r="T1053">
        <v>0</v>
      </c>
      <c r="U1053" t="s">
        <v>34</v>
      </c>
      <c r="V1053" s="1">
        <v>46143</v>
      </c>
      <c r="W1053" s="1">
        <v>46172</v>
      </c>
    </row>
    <row r="1054" spans="1:24" x14ac:dyDescent="0.25">
      <c r="A1054">
        <f t="shared" ca="1" si="84"/>
        <v>0</v>
      </c>
      <c r="C1054">
        <f t="shared" ca="1" si="85"/>
        <v>0</v>
      </c>
      <c r="D1054" t="s">
        <v>57</v>
      </c>
      <c r="E1054" t="s">
        <v>27</v>
      </c>
      <c r="F1054">
        <v>279</v>
      </c>
      <c r="G1054" t="s">
        <v>75</v>
      </c>
      <c r="H1054" t="s">
        <v>2185</v>
      </c>
      <c r="I1054" t="s">
        <v>44</v>
      </c>
      <c r="J1054" t="s">
        <v>57</v>
      </c>
      <c r="K1054" t="s">
        <v>31</v>
      </c>
      <c r="L1054" t="s">
        <v>2186</v>
      </c>
      <c r="M1054">
        <v>5000</v>
      </c>
      <c r="N1054">
        <v>335</v>
      </c>
      <c r="O1054">
        <v>5077144</v>
      </c>
      <c r="P1054">
        <v>4146</v>
      </c>
      <c r="Q1054" t="s">
        <v>91</v>
      </c>
      <c r="R1054">
        <v>4100.8</v>
      </c>
      <c r="S1054">
        <v>4100.8</v>
      </c>
      <c r="T1054">
        <v>0</v>
      </c>
      <c r="U1054" t="s">
        <v>34</v>
      </c>
      <c r="V1054" s="1">
        <v>46174</v>
      </c>
      <c r="W1054" s="1">
        <v>46188</v>
      </c>
    </row>
    <row r="1055" spans="1:24" x14ac:dyDescent="0.25">
      <c r="A1055">
        <f t="shared" ca="1" si="84"/>
        <v>0</v>
      </c>
      <c r="C1055">
        <f t="shared" ca="1" si="85"/>
        <v>0</v>
      </c>
      <c r="D1055" t="s">
        <v>41</v>
      </c>
      <c r="E1055" t="s">
        <v>27</v>
      </c>
      <c r="F1055">
        <v>300</v>
      </c>
      <c r="G1055" t="s">
        <v>85</v>
      </c>
      <c r="H1055" t="s">
        <v>2187</v>
      </c>
      <c r="I1055" t="s">
        <v>44</v>
      </c>
      <c r="J1055" t="s">
        <v>41</v>
      </c>
      <c r="K1055" t="s">
        <v>31</v>
      </c>
      <c r="L1055" t="s">
        <v>2188</v>
      </c>
      <c r="M1055">
        <v>10000</v>
      </c>
      <c r="N1055">
        <v>337</v>
      </c>
      <c r="O1055">
        <v>5038633</v>
      </c>
      <c r="P1055">
        <v>4146</v>
      </c>
      <c r="Q1055" t="s">
        <v>91</v>
      </c>
      <c r="R1055">
        <v>16438.18</v>
      </c>
      <c r="T1055">
        <v>16438.18</v>
      </c>
      <c r="U1055" t="s">
        <v>40</v>
      </c>
      <c r="V1055" s="1">
        <v>46127</v>
      </c>
      <c r="W1055" s="1">
        <v>46157</v>
      </c>
    </row>
    <row r="1056" spans="1:24" x14ac:dyDescent="0.25">
      <c r="A1056">
        <f t="shared" ca="1" si="84"/>
        <v>0</v>
      </c>
      <c r="C1056">
        <f t="shared" ca="1" si="85"/>
        <v>0</v>
      </c>
      <c r="D1056" t="s">
        <v>236</v>
      </c>
      <c r="E1056" t="s">
        <v>27</v>
      </c>
      <c r="F1056">
        <v>300</v>
      </c>
      <c r="G1056" t="s">
        <v>85</v>
      </c>
      <c r="H1056" t="s">
        <v>1356</v>
      </c>
      <c r="I1056" t="s">
        <v>44</v>
      </c>
      <c r="J1056" t="s">
        <v>236</v>
      </c>
      <c r="K1056" t="s">
        <v>31</v>
      </c>
      <c r="L1056" t="s">
        <v>2189</v>
      </c>
      <c r="M1056">
        <v>15000</v>
      </c>
      <c r="N1056">
        <v>338</v>
      </c>
      <c r="O1056">
        <v>5082001</v>
      </c>
      <c r="P1056">
        <v>6632</v>
      </c>
      <c r="Q1056" t="s">
        <v>1041</v>
      </c>
      <c r="R1056">
        <v>17593.18</v>
      </c>
      <c r="S1056">
        <v>17593.18</v>
      </c>
      <c r="T1056">
        <v>0</v>
      </c>
      <c r="U1056" t="s">
        <v>34</v>
      </c>
      <c r="V1056" s="1">
        <v>46235</v>
      </c>
      <c r="W1056" s="1">
        <v>46266</v>
      </c>
      <c r="X1056" t="s">
        <v>1358</v>
      </c>
    </row>
    <row r="1057" spans="1:26" x14ac:dyDescent="0.25">
      <c r="A1057">
        <f t="shared" ca="1" si="84"/>
        <v>0</v>
      </c>
      <c r="C1057">
        <f t="shared" ca="1" si="85"/>
        <v>0</v>
      </c>
      <c r="D1057" t="s">
        <v>209</v>
      </c>
      <c r="E1057" t="s">
        <v>27</v>
      </c>
      <c r="F1057">
        <v>318</v>
      </c>
      <c r="G1057" t="s">
        <v>75</v>
      </c>
      <c r="H1057" t="s">
        <v>2190</v>
      </c>
      <c r="I1057" t="s">
        <v>44</v>
      </c>
      <c r="J1057" t="s">
        <v>209</v>
      </c>
      <c r="K1057" t="s">
        <v>31</v>
      </c>
      <c r="L1057" t="s">
        <v>2191</v>
      </c>
      <c r="M1057">
        <v>6000</v>
      </c>
      <c r="N1057">
        <v>340</v>
      </c>
      <c r="O1057">
        <v>5066411</v>
      </c>
      <c r="P1057">
        <v>81</v>
      </c>
      <c r="Q1057" t="s">
        <v>102</v>
      </c>
      <c r="R1057">
        <v>368.08</v>
      </c>
      <c r="T1057">
        <v>368.08</v>
      </c>
      <c r="U1057" t="s">
        <v>40</v>
      </c>
      <c r="V1057" s="1">
        <v>46139</v>
      </c>
      <c r="W1057" s="1">
        <v>46140</v>
      </c>
    </row>
    <row r="1058" spans="1:26" x14ac:dyDescent="0.25">
      <c r="A1058">
        <f t="shared" ca="1" si="84"/>
        <v>0</v>
      </c>
      <c r="C1058">
        <f t="shared" ca="1" si="85"/>
        <v>0</v>
      </c>
      <c r="D1058" t="s">
        <v>236</v>
      </c>
      <c r="E1058" t="s">
        <v>27</v>
      </c>
      <c r="F1058">
        <v>325</v>
      </c>
      <c r="G1058" t="s">
        <v>42</v>
      </c>
      <c r="H1058" t="s">
        <v>2192</v>
      </c>
      <c r="I1058" t="s">
        <v>44</v>
      </c>
      <c r="J1058" t="s">
        <v>236</v>
      </c>
      <c r="K1058" t="s">
        <v>31</v>
      </c>
      <c r="L1058" t="s">
        <v>2193</v>
      </c>
      <c r="M1058">
        <v>6000</v>
      </c>
      <c r="N1058">
        <v>342</v>
      </c>
      <c r="O1058">
        <v>5091041</v>
      </c>
      <c r="P1058">
        <v>153</v>
      </c>
      <c r="Q1058" t="s">
        <v>98</v>
      </c>
      <c r="R1058">
        <v>3109.79</v>
      </c>
      <c r="T1058">
        <v>3109.79</v>
      </c>
      <c r="U1058" t="s">
        <v>40</v>
      </c>
      <c r="V1058" s="1">
        <v>46218</v>
      </c>
      <c r="W1058" s="1">
        <v>46249</v>
      </c>
      <c r="X1058" t="s">
        <v>98</v>
      </c>
      <c r="Y1058" t="s">
        <v>104</v>
      </c>
      <c r="Z1058" s="1">
        <v>46238</v>
      </c>
    </row>
    <row r="1059" spans="1:26" x14ac:dyDescent="0.25">
      <c r="A1059">
        <f t="shared" ca="1" si="84"/>
        <v>0</v>
      </c>
      <c r="C1059">
        <f t="shared" ca="1" si="85"/>
        <v>0</v>
      </c>
      <c r="D1059" t="s">
        <v>41</v>
      </c>
      <c r="E1059" t="s">
        <v>27</v>
      </c>
      <c r="F1059">
        <v>347</v>
      </c>
      <c r="G1059" t="s">
        <v>114</v>
      </c>
      <c r="H1059" t="s">
        <v>2194</v>
      </c>
      <c r="I1059" t="s">
        <v>44</v>
      </c>
      <c r="J1059" t="s">
        <v>41</v>
      </c>
      <c r="K1059" t="s">
        <v>31</v>
      </c>
      <c r="L1059" t="s">
        <v>2195</v>
      </c>
      <c r="M1059">
        <v>15000</v>
      </c>
      <c r="N1059">
        <v>343</v>
      </c>
      <c r="O1059">
        <v>5047346</v>
      </c>
      <c r="P1059">
        <v>5978</v>
      </c>
      <c r="Q1059" t="s">
        <v>54</v>
      </c>
      <c r="R1059">
        <v>15381.3</v>
      </c>
      <c r="S1059">
        <v>15381.3</v>
      </c>
      <c r="T1059">
        <v>0</v>
      </c>
      <c r="U1059" t="s">
        <v>34</v>
      </c>
      <c r="V1059" s="1">
        <v>46127</v>
      </c>
      <c r="W1059" s="1">
        <v>46143</v>
      </c>
    </row>
    <row r="1060" spans="1:26" x14ac:dyDescent="0.25">
      <c r="A1060">
        <f t="shared" ca="1" si="84"/>
        <v>0</v>
      </c>
      <c r="C1060">
        <f t="shared" ca="1" si="85"/>
        <v>0</v>
      </c>
      <c r="D1060" t="s">
        <v>41</v>
      </c>
      <c r="E1060" t="s">
        <v>27</v>
      </c>
      <c r="F1060">
        <v>402</v>
      </c>
      <c r="G1060" t="s">
        <v>28</v>
      </c>
      <c r="H1060" t="s">
        <v>2196</v>
      </c>
      <c r="I1060" t="s">
        <v>44</v>
      </c>
      <c r="J1060" t="s">
        <v>41</v>
      </c>
      <c r="K1060" t="s">
        <v>31</v>
      </c>
      <c r="L1060" t="s">
        <v>2197</v>
      </c>
      <c r="M1060">
        <v>6000</v>
      </c>
      <c r="N1060">
        <v>344</v>
      </c>
      <c r="O1060">
        <v>5030423</v>
      </c>
      <c r="P1060">
        <v>14203</v>
      </c>
      <c r="Q1060" t="s">
        <v>1189</v>
      </c>
      <c r="R1060">
        <v>1889.25</v>
      </c>
      <c r="T1060">
        <v>1889.25</v>
      </c>
      <c r="U1060" t="s">
        <v>40</v>
      </c>
      <c r="V1060" s="1">
        <v>46096</v>
      </c>
      <c r="W1060" s="1">
        <v>46111</v>
      </c>
    </row>
    <row r="1061" spans="1:26" x14ac:dyDescent="0.25">
      <c r="A1061">
        <f t="shared" ca="1" si="84"/>
        <v>0</v>
      </c>
      <c r="C1061">
        <f t="shared" ca="1" si="85"/>
        <v>0</v>
      </c>
      <c r="D1061" t="s">
        <v>57</v>
      </c>
      <c r="E1061" t="s">
        <v>27</v>
      </c>
      <c r="F1061">
        <v>409</v>
      </c>
      <c r="G1061" t="s">
        <v>114</v>
      </c>
      <c r="H1061" t="s">
        <v>2198</v>
      </c>
      <c r="I1061" t="s">
        <v>44</v>
      </c>
      <c r="J1061" t="s">
        <v>57</v>
      </c>
      <c r="K1061" t="s">
        <v>31</v>
      </c>
      <c r="L1061" t="s">
        <v>2199</v>
      </c>
      <c r="M1061">
        <v>15000</v>
      </c>
      <c r="N1061">
        <v>345</v>
      </c>
      <c r="O1061">
        <v>5042364</v>
      </c>
      <c r="P1061">
        <v>29</v>
      </c>
      <c r="Q1061" t="s">
        <v>933</v>
      </c>
      <c r="R1061">
        <v>8855.42</v>
      </c>
      <c r="S1061">
        <v>8855.42</v>
      </c>
      <c r="T1061">
        <v>0</v>
      </c>
      <c r="U1061" t="s">
        <v>34</v>
      </c>
      <c r="V1061" s="1">
        <v>46101</v>
      </c>
      <c r="W1061" s="1">
        <v>46132</v>
      </c>
    </row>
    <row r="1062" spans="1:26" x14ac:dyDescent="0.25">
      <c r="A1062">
        <f t="shared" ca="1" si="84"/>
        <v>0</v>
      </c>
      <c r="C1062">
        <f t="shared" ca="1" si="85"/>
        <v>0</v>
      </c>
      <c r="D1062" t="s">
        <v>41</v>
      </c>
      <c r="E1062" t="s">
        <v>27</v>
      </c>
      <c r="F1062">
        <v>409</v>
      </c>
      <c r="G1062" t="s">
        <v>114</v>
      </c>
      <c r="H1062" t="s">
        <v>2198</v>
      </c>
      <c r="I1062" t="s">
        <v>44</v>
      </c>
      <c r="J1062" t="s">
        <v>41</v>
      </c>
      <c r="K1062" t="s">
        <v>31</v>
      </c>
      <c r="L1062" t="s">
        <v>786</v>
      </c>
      <c r="M1062">
        <v>5000</v>
      </c>
      <c r="N1062">
        <v>346</v>
      </c>
      <c r="O1062">
        <v>5108095</v>
      </c>
      <c r="P1062">
        <v>14203</v>
      </c>
      <c r="Q1062" t="s">
        <v>1189</v>
      </c>
      <c r="R1062">
        <v>5038</v>
      </c>
      <c r="T1062">
        <v>5038</v>
      </c>
      <c r="U1062" t="s">
        <v>40</v>
      </c>
      <c r="V1062" s="1">
        <v>46280</v>
      </c>
      <c r="W1062" s="1">
        <v>46310</v>
      </c>
    </row>
    <row r="1063" spans="1:26" x14ac:dyDescent="0.25">
      <c r="A1063">
        <f t="shared" ca="1" si="84"/>
        <v>0</v>
      </c>
      <c r="C1063">
        <f t="shared" ca="1" si="85"/>
        <v>0</v>
      </c>
      <c r="D1063" t="s">
        <v>41</v>
      </c>
      <c r="E1063" t="s">
        <v>27</v>
      </c>
      <c r="F1063">
        <v>463</v>
      </c>
      <c r="G1063" t="s">
        <v>114</v>
      </c>
      <c r="H1063" t="s">
        <v>2200</v>
      </c>
      <c r="I1063" t="s">
        <v>44</v>
      </c>
      <c r="J1063" t="s">
        <v>41</v>
      </c>
      <c r="K1063" t="s">
        <v>31</v>
      </c>
      <c r="L1063" t="s">
        <v>2195</v>
      </c>
      <c r="M1063">
        <v>16000</v>
      </c>
      <c r="N1063">
        <v>347</v>
      </c>
      <c r="O1063">
        <v>5038640</v>
      </c>
      <c r="P1063">
        <v>4146</v>
      </c>
      <c r="Q1063" t="s">
        <v>91</v>
      </c>
      <c r="U1063" t="s">
        <v>40</v>
      </c>
      <c r="V1063" s="1">
        <v>46142</v>
      </c>
      <c r="W1063" s="1">
        <v>46172</v>
      </c>
    </row>
    <row r="1064" spans="1:26" x14ac:dyDescent="0.25">
      <c r="A1064">
        <f t="shared" ca="1" si="84"/>
        <v>0</v>
      </c>
      <c r="C1064">
        <f t="shared" ca="1" si="85"/>
        <v>0</v>
      </c>
      <c r="D1064" t="s">
        <v>236</v>
      </c>
      <c r="E1064" t="s">
        <v>27</v>
      </c>
      <c r="F1064">
        <v>470</v>
      </c>
      <c r="G1064" t="s">
        <v>85</v>
      </c>
      <c r="H1064" t="s">
        <v>1385</v>
      </c>
      <c r="I1064" t="s">
        <v>44</v>
      </c>
      <c r="J1064" t="s">
        <v>236</v>
      </c>
      <c r="K1064" t="s">
        <v>31</v>
      </c>
      <c r="L1064" t="s">
        <v>97</v>
      </c>
      <c r="M1064">
        <v>10000</v>
      </c>
      <c r="N1064">
        <v>348</v>
      </c>
      <c r="O1064">
        <v>5072212</v>
      </c>
      <c r="P1064">
        <v>153</v>
      </c>
      <c r="Q1064" t="s">
        <v>98</v>
      </c>
      <c r="R1064">
        <v>21758</v>
      </c>
      <c r="S1064">
        <v>21758</v>
      </c>
      <c r="T1064">
        <v>0</v>
      </c>
      <c r="U1064" t="s">
        <v>34</v>
      </c>
      <c r="V1064" s="1">
        <v>46172</v>
      </c>
      <c r="W1064" s="1">
        <v>46203</v>
      </c>
    </row>
    <row r="1065" spans="1:26" x14ac:dyDescent="0.25">
      <c r="A1065">
        <f t="shared" ca="1" si="84"/>
        <v>0</v>
      </c>
      <c r="C1065">
        <f t="shared" ca="1" si="85"/>
        <v>0</v>
      </c>
      <c r="D1065" t="s">
        <v>203</v>
      </c>
      <c r="E1065" t="s">
        <v>27</v>
      </c>
      <c r="F1065">
        <v>470</v>
      </c>
      <c r="G1065" t="s">
        <v>85</v>
      </c>
      <c r="H1065" t="s">
        <v>1385</v>
      </c>
      <c r="I1065" t="s">
        <v>44</v>
      </c>
      <c r="J1065" t="s">
        <v>203</v>
      </c>
      <c r="K1065" t="s">
        <v>31</v>
      </c>
      <c r="L1065" t="s">
        <v>2201</v>
      </c>
      <c r="M1065">
        <v>10000</v>
      </c>
      <c r="N1065">
        <v>349</v>
      </c>
      <c r="O1065">
        <v>5077155</v>
      </c>
      <c r="P1065">
        <v>6681</v>
      </c>
      <c r="Q1065" t="s">
        <v>1612</v>
      </c>
      <c r="R1065">
        <v>3630</v>
      </c>
      <c r="S1065">
        <v>3630</v>
      </c>
      <c r="T1065">
        <v>0</v>
      </c>
      <c r="U1065" t="s">
        <v>34</v>
      </c>
      <c r="V1065" s="1">
        <v>46174</v>
      </c>
      <c r="W1065" s="1">
        <v>46203</v>
      </c>
    </row>
    <row r="1066" spans="1:26" x14ac:dyDescent="0.25">
      <c r="A1066">
        <f t="shared" ca="1" si="84"/>
        <v>0</v>
      </c>
      <c r="C1066">
        <f t="shared" ca="1" si="85"/>
        <v>0</v>
      </c>
      <c r="D1066" t="s">
        <v>41</v>
      </c>
      <c r="E1066" t="s">
        <v>27</v>
      </c>
      <c r="F1066">
        <v>513</v>
      </c>
      <c r="G1066" t="s">
        <v>75</v>
      </c>
      <c r="H1066" t="s">
        <v>2202</v>
      </c>
      <c r="I1066" t="s">
        <v>44</v>
      </c>
      <c r="J1066" t="s">
        <v>41</v>
      </c>
      <c r="K1066" t="s">
        <v>31</v>
      </c>
      <c r="L1066" t="s">
        <v>1977</v>
      </c>
      <c r="M1066">
        <v>6400</v>
      </c>
      <c r="N1066">
        <v>351</v>
      </c>
      <c r="X1066" t="s">
        <v>2203</v>
      </c>
    </row>
    <row r="1067" spans="1:26" x14ac:dyDescent="0.25">
      <c r="A1067">
        <f t="shared" ca="1" si="84"/>
        <v>0</v>
      </c>
      <c r="C1067">
        <f t="shared" ca="1" si="85"/>
        <v>0</v>
      </c>
      <c r="D1067" t="s">
        <v>41</v>
      </c>
      <c r="E1067" t="s">
        <v>27</v>
      </c>
      <c r="F1067">
        <v>518</v>
      </c>
      <c r="G1067" t="s">
        <v>114</v>
      </c>
      <c r="H1067" t="s">
        <v>2204</v>
      </c>
      <c r="I1067" t="s">
        <v>44</v>
      </c>
      <c r="J1067" t="s">
        <v>41</v>
      </c>
      <c r="K1067" t="s">
        <v>31</v>
      </c>
      <c r="L1067" t="s">
        <v>1263</v>
      </c>
      <c r="M1067">
        <v>5000</v>
      </c>
      <c r="N1067">
        <v>352</v>
      </c>
      <c r="O1067">
        <v>5038659</v>
      </c>
      <c r="P1067">
        <v>4146</v>
      </c>
      <c r="Q1067" t="s">
        <v>91</v>
      </c>
      <c r="R1067">
        <v>7634.88</v>
      </c>
      <c r="S1067">
        <v>7634.88</v>
      </c>
      <c r="T1067">
        <v>0</v>
      </c>
      <c r="U1067" t="s">
        <v>34</v>
      </c>
      <c r="V1067" s="1">
        <v>46157</v>
      </c>
      <c r="W1067" s="1">
        <v>46188</v>
      </c>
    </row>
    <row r="1068" spans="1:26" x14ac:dyDescent="0.25">
      <c r="A1068">
        <f t="shared" ca="1" si="84"/>
        <v>0</v>
      </c>
      <c r="C1068">
        <f t="shared" ca="1" si="85"/>
        <v>0</v>
      </c>
      <c r="D1068" t="s">
        <v>57</v>
      </c>
      <c r="E1068" t="s">
        <v>27</v>
      </c>
      <c r="F1068">
        <v>538</v>
      </c>
      <c r="G1068" t="s">
        <v>114</v>
      </c>
      <c r="H1068" t="s">
        <v>2205</v>
      </c>
      <c r="I1068" t="s">
        <v>44</v>
      </c>
      <c r="J1068" t="s">
        <v>57</v>
      </c>
      <c r="K1068" t="s">
        <v>31</v>
      </c>
      <c r="L1068" t="s">
        <v>2206</v>
      </c>
      <c r="M1068">
        <v>15000</v>
      </c>
      <c r="N1068">
        <v>353</v>
      </c>
      <c r="X1068" t="s">
        <v>1895</v>
      </c>
    </row>
    <row r="1069" spans="1:26" x14ac:dyDescent="0.25">
      <c r="A1069">
        <f t="shared" ca="1" si="84"/>
        <v>0</v>
      </c>
      <c r="C1069">
        <f t="shared" ca="1" si="85"/>
        <v>0</v>
      </c>
      <c r="D1069" t="s">
        <v>57</v>
      </c>
      <c r="E1069" t="s">
        <v>27</v>
      </c>
      <c r="F1069">
        <v>570</v>
      </c>
      <c r="G1069" t="s">
        <v>114</v>
      </c>
      <c r="H1069" t="s">
        <v>2207</v>
      </c>
      <c r="I1069" t="s">
        <v>44</v>
      </c>
      <c r="J1069" t="s">
        <v>57</v>
      </c>
      <c r="K1069" t="s">
        <v>31</v>
      </c>
      <c r="L1069" t="s">
        <v>2208</v>
      </c>
      <c r="M1069">
        <v>10000</v>
      </c>
      <c r="N1069">
        <v>354</v>
      </c>
      <c r="O1069">
        <v>5068032</v>
      </c>
      <c r="P1069">
        <v>15542</v>
      </c>
      <c r="Q1069" t="s">
        <v>1259</v>
      </c>
      <c r="R1069">
        <v>3257.1</v>
      </c>
      <c r="T1069">
        <v>3257.1</v>
      </c>
      <c r="U1069" t="s">
        <v>40</v>
      </c>
      <c r="V1069" s="1">
        <v>46157</v>
      </c>
      <c r="W1069" s="1">
        <v>46188</v>
      </c>
    </row>
    <row r="1070" spans="1:26" x14ac:dyDescent="0.25">
      <c r="A1070">
        <f t="shared" ca="1" si="84"/>
        <v>0</v>
      </c>
      <c r="C1070">
        <f t="shared" ca="1" si="85"/>
        <v>0</v>
      </c>
      <c r="D1070" t="s">
        <v>57</v>
      </c>
      <c r="E1070" t="s">
        <v>27</v>
      </c>
      <c r="F1070">
        <v>603</v>
      </c>
      <c r="G1070" t="s">
        <v>70</v>
      </c>
      <c r="H1070" t="s">
        <v>2209</v>
      </c>
      <c r="I1070" t="s">
        <v>44</v>
      </c>
      <c r="J1070" t="s">
        <v>57</v>
      </c>
      <c r="K1070" t="s">
        <v>31</v>
      </c>
      <c r="L1070" t="s">
        <v>2210</v>
      </c>
      <c r="M1070">
        <v>6000</v>
      </c>
      <c r="N1070">
        <v>355</v>
      </c>
      <c r="O1070">
        <v>5079582</v>
      </c>
      <c r="P1070">
        <v>7569</v>
      </c>
      <c r="Q1070" t="s">
        <v>1894</v>
      </c>
    </row>
    <row r="1071" spans="1:26" x14ac:dyDescent="0.25">
      <c r="A1071">
        <f t="shared" ca="1" si="84"/>
        <v>0</v>
      </c>
      <c r="C1071">
        <f t="shared" ca="1" si="85"/>
        <v>0</v>
      </c>
      <c r="D1071" t="s">
        <v>57</v>
      </c>
      <c r="E1071" t="s">
        <v>27</v>
      </c>
      <c r="F1071">
        <v>604</v>
      </c>
      <c r="G1071" t="s">
        <v>70</v>
      </c>
      <c r="H1071" t="s">
        <v>2209</v>
      </c>
      <c r="I1071" t="s">
        <v>44</v>
      </c>
      <c r="J1071" t="s">
        <v>57</v>
      </c>
      <c r="K1071" t="s">
        <v>31</v>
      </c>
      <c r="L1071" t="s">
        <v>2210</v>
      </c>
      <c r="M1071">
        <v>5000</v>
      </c>
      <c r="N1071">
        <v>356</v>
      </c>
    </row>
    <row r="1072" spans="1:26" x14ac:dyDescent="0.25">
      <c r="A1072">
        <f t="shared" ca="1" si="84"/>
        <v>0</v>
      </c>
      <c r="C1072">
        <f t="shared" ca="1" si="85"/>
        <v>0</v>
      </c>
      <c r="D1072" t="s">
        <v>41</v>
      </c>
      <c r="E1072" t="s">
        <v>27</v>
      </c>
      <c r="F1072">
        <v>634</v>
      </c>
      <c r="G1072" t="s">
        <v>28</v>
      </c>
      <c r="H1072" t="s">
        <v>2211</v>
      </c>
      <c r="I1072" t="s">
        <v>44</v>
      </c>
      <c r="J1072" t="s">
        <v>41</v>
      </c>
      <c r="K1072" t="s">
        <v>31</v>
      </c>
      <c r="L1072" t="s">
        <v>2212</v>
      </c>
      <c r="M1072">
        <v>10000</v>
      </c>
      <c r="N1072">
        <v>357</v>
      </c>
      <c r="O1072">
        <v>5045445</v>
      </c>
      <c r="P1072">
        <v>25204</v>
      </c>
      <c r="Q1072" t="s">
        <v>46</v>
      </c>
      <c r="R1072">
        <v>1992.07</v>
      </c>
      <c r="S1072">
        <v>1992.07</v>
      </c>
      <c r="T1072">
        <v>0</v>
      </c>
      <c r="U1072" t="s">
        <v>34</v>
      </c>
      <c r="V1072" s="1">
        <v>46127</v>
      </c>
      <c r="W1072" s="1">
        <v>46142</v>
      </c>
    </row>
    <row r="1073" spans="1:26" x14ac:dyDescent="0.25">
      <c r="A1073">
        <f t="shared" ca="1" si="84"/>
        <v>0</v>
      </c>
      <c r="C1073">
        <f t="shared" ca="1" si="85"/>
        <v>0</v>
      </c>
      <c r="D1073" t="s">
        <v>57</v>
      </c>
      <c r="E1073" t="s">
        <v>27</v>
      </c>
      <c r="F1073">
        <v>662</v>
      </c>
      <c r="G1073" t="s">
        <v>85</v>
      </c>
      <c r="H1073" t="s">
        <v>2213</v>
      </c>
      <c r="I1073" t="s">
        <v>44</v>
      </c>
      <c r="J1073" t="s">
        <v>57</v>
      </c>
      <c r="K1073" t="s">
        <v>31</v>
      </c>
      <c r="L1073" t="s">
        <v>2214</v>
      </c>
      <c r="M1073">
        <v>20000</v>
      </c>
      <c r="N1073">
        <v>358</v>
      </c>
      <c r="X1073" t="s">
        <v>2215</v>
      </c>
    </row>
    <row r="1074" spans="1:26" x14ac:dyDescent="0.25">
      <c r="A1074">
        <f t="shared" ca="1" si="84"/>
        <v>0</v>
      </c>
      <c r="C1074">
        <f t="shared" ca="1" si="85"/>
        <v>0</v>
      </c>
      <c r="D1074" t="s">
        <v>236</v>
      </c>
      <c r="E1074" t="s">
        <v>27</v>
      </c>
      <c r="F1074">
        <v>741</v>
      </c>
      <c r="G1074" t="s">
        <v>42</v>
      </c>
      <c r="H1074" t="s">
        <v>1074</v>
      </c>
      <c r="I1074" t="s">
        <v>44</v>
      </c>
      <c r="J1074" t="s">
        <v>236</v>
      </c>
      <c r="K1074" t="s">
        <v>31</v>
      </c>
      <c r="L1074" t="s">
        <v>2216</v>
      </c>
      <c r="M1074">
        <v>8000</v>
      </c>
      <c r="N1074">
        <v>359</v>
      </c>
      <c r="O1074">
        <v>5091044</v>
      </c>
      <c r="P1074">
        <v>153</v>
      </c>
      <c r="Q1074" t="s">
        <v>98</v>
      </c>
      <c r="R1074">
        <v>6219.58</v>
      </c>
      <c r="T1074">
        <v>6219.58</v>
      </c>
      <c r="U1074" t="s">
        <v>40</v>
      </c>
      <c r="V1074" s="1">
        <v>46204</v>
      </c>
      <c r="W1074" s="1">
        <v>46235</v>
      </c>
      <c r="X1074" t="s">
        <v>2217</v>
      </c>
      <c r="Y1074" t="s">
        <v>47</v>
      </c>
      <c r="Z1074" s="1">
        <v>46190</v>
      </c>
    </row>
    <row r="1075" spans="1:26" x14ac:dyDescent="0.25">
      <c r="A1075">
        <f t="shared" ca="1" si="84"/>
        <v>0</v>
      </c>
      <c r="C1075">
        <f t="shared" ca="1" si="85"/>
        <v>0</v>
      </c>
      <c r="D1075" t="s">
        <v>209</v>
      </c>
      <c r="E1075" t="s">
        <v>27</v>
      </c>
      <c r="F1075">
        <v>747</v>
      </c>
      <c r="G1075" t="s">
        <v>85</v>
      </c>
      <c r="H1075" t="s">
        <v>2218</v>
      </c>
      <c r="I1075" t="s">
        <v>44</v>
      </c>
      <c r="J1075" t="s">
        <v>209</v>
      </c>
      <c r="K1075" t="s">
        <v>31</v>
      </c>
      <c r="L1075" t="s">
        <v>2219</v>
      </c>
      <c r="M1075">
        <v>7000</v>
      </c>
      <c r="N1075">
        <v>360</v>
      </c>
      <c r="X1075" t="s">
        <v>371</v>
      </c>
    </row>
    <row r="1076" spans="1:26" x14ac:dyDescent="0.25">
      <c r="A1076">
        <f t="shared" ca="1" si="84"/>
        <v>0</v>
      </c>
      <c r="C1076">
        <f t="shared" ca="1" si="85"/>
        <v>0</v>
      </c>
      <c r="D1076" t="s">
        <v>41</v>
      </c>
      <c r="E1076" t="s">
        <v>27</v>
      </c>
      <c r="F1076">
        <v>747</v>
      </c>
      <c r="G1076" t="s">
        <v>85</v>
      </c>
      <c r="H1076" t="s">
        <v>2220</v>
      </c>
      <c r="I1076" t="s">
        <v>44</v>
      </c>
      <c r="J1076" t="s">
        <v>41</v>
      </c>
      <c r="K1076" t="s">
        <v>31</v>
      </c>
      <c r="L1076" t="s">
        <v>2221</v>
      </c>
      <c r="M1076">
        <v>7600</v>
      </c>
      <c r="N1076">
        <v>361</v>
      </c>
      <c r="O1076">
        <v>5072256</v>
      </c>
      <c r="P1076">
        <v>4921</v>
      </c>
      <c r="Q1076" t="s">
        <v>94</v>
      </c>
      <c r="R1076">
        <v>8646.59</v>
      </c>
      <c r="T1076">
        <v>8646.59</v>
      </c>
      <c r="U1076" t="s">
        <v>40</v>
      </c>
      <c r="V1076" s="1">
        <v>46204</v>
      </c>
      <c r="W1076" s="1">
        <v>46249</v>
      </c>
    </row>
    <row r="1077" spans="1:26" x14ac:dyDescent="0.25">
      <c r="A1077">
        <f t="shared" ca="1" si="84"/>
        <v>0</v>
      </c>
      <c r="C1077">
        <f t="shared" ca="1" si="85"/>
        <v>0</v>
      </c>
      <c r="D1077" t="s">
        <v>57</v>
      </c>
      <c r="E1077" t="s">
        <v>27</v>
      </c>
      <c r="F1077">
        <v>785</v>
      </c>
      <c r="G1077" t="s">
        <v>36</v>
      </c>
      <c r="H1077" t="s">
        <v>2222</v>
      </c>
      <c r="I1077" t="s">
        <v>44</v>
      </c>
      <c r="J1077" t="s">
        <v>57</v>
      </c>
      <c r="K1077" t="s">
        <v>31</v>
      </c>
      <c r="L1077" t="s">
        <v>2223</v>
      </c>
      <c r="M1077">
        <v>10000</v>
      </c>
      <c r="N1077">
        <v>362</v>
      </c>
      <c r="X1077" t="s">
        <v>655</v>
      </c>
    </row>
    <row r="1078" spans="1:26" x14ac:dyDescent="0.25">
      <c r="A1078">
        <f t="shared" ca="1" si="84"/>
        <v>0</v>
      </c>
      <c r="C1078">
        <f t="shared" ca="1" si="85"/>
        <v>0</v>
      </c>
      <c r="D1078" t="s">
        <v>57</v>
      </c>
      <c r="E1078" t="s">
        <v>27</v>
      </c>
      <c r="F1078">
        <v>808</v>
      </c>
      <c r="G1078" t="s">
        <v>36</v>
      </c>
      <c r="H1078" t="s">
        <v>2224</v>
      </c>
      <c r="I1078" t="s">
        <v>44</v>
      </c>
      <c r="J1078" t="s">
        <v>57</v>
      </c>
      <c r="K1078" t="s">
        <v>31</v>
      </c>
      <c r="L1078" t="s">
        <v>2225</v>
      </c>
      <c r="M1078">
        <v>4000</v>
      </c>
      <c r="N1078">
        <v>363</v>
      </c>
      <c r="X1078" t="s">
        <v>175</v>
      </c>
    </row>
    <row r="1079" spans="1:26" x14ac:dyDescent="0.25">
      <c r="A1079">
        <f t="shared" ca="1" si="84"/>
        <v>0</v>
      </c>
      <c r="C1079">
        <f t="shared" ca="1" si="85"/>
        <v>0</v>
      </c>
      <c r="D1079" t="s">
        <v>57</v>
      </c>
      <c r="E1079" t="s">
        <v>27</v>
      </c>
      <c r="F1079">
        <v>825</v>
      </c>
      <c r="G1079" t="s">
        <v>36</v>
      </c>
      <c r="H1079" t="s">
        <v>2226</v>
      </c>
      <c r="I1079" t="s">
        <v>44</v>
      </c>
      <c r="J1079" t="s">
        <v>57</v>
      </c>
      <c r="K1079" t="s">
        <v>31</v>
      </c>
      <c r="L1079" t="s">
        <v>2225</v>
      </c>
      <c r="M1079">
        <v>4000</v>
      </c>
      <c r="N1079">
        <v>364</v>
      </c>
      <c r="X1079" t="s">
        <v>175</v>
      </c>
    </row>
    <row r="1080" spans="1:26" x14ac:dyDescent="0.25">
      <c r="A1080">
        <f t="shared" ca="1" si="84"/>
        <v>0</v>
      </c>
      <c r="C1080">
        <f t="shared" ca="1" si="85"/>
        <v>0</v>
      </c>
      <c r="D1080" t="s">
        <v>41</v>
      </c>
      <c r="E1080" t="s">
        <v>27</v>
      </c>
      <c r="F1080">
        <v>825</v>
      </c>
      <c r="G1080" t="s">
        <v>36</v>
      </c>
      <c r="H1080" t="s">
        <v>2227</v>
      </c>
      <c r="I1080" t="s">
        <v>44</v>
      </c>
      <c r="J1080" t="s">
        <v>41</v>
      </c>
      <c r="K1080" t="s">
        <v>31</v>
      </c>
      <c r="L1080" t="s">
        <v>2228</v>
      </c>
      <c r="M1080">
        <v>5000</v>
      </c>
      <c r="N1080">
        <v>365</v>
      </c>
      <c r="X1080" t="s">
        <v>869</v>
      </c>
    </row>
    <row r="1081" spans="1:26" x14ac:dyDescent="0.25">
      <c r="A1081">
        <f t="shared" ca="1" si="84"/>
        <v>0</v>
      </c>
      <c r="C1081">
        <f t="shared" ca="1" si="85"/>
        <v>0</v>
      </c>
      <c r="D1081" t="s">
        <v>41</v>
      </c>
      <c r="E1081" t="s">
        <v>27</v>
      </c>
      <c r="F1081">
        <v>831</v>
      </c>
      <c r="G1081" t="s">
        <v>42</v>
      </c>
    </row>
    <row r="1082" spans="1:26" x14ac:dyDescent="0.25">
      <c r="A1082" t="s">
        <v>2229</v>
      </c>
      <c r="B1082" t="s">
        <v>44</v>
      </c>
      <c r="C1082" t="s">
        <v>41</v>
      </c>
      <c r="D1082" t="s">
        <v>31</v>
      </c>
      <c r="E1082" t="s">
        <v>2230</v>
      </c>
      <c r="F1082">
        <v>40000</v>
      </c>
      <c r="G1082">
        <v>366</v>
      </c>
      <c r="H1082">
        <v>5064928</v>
      </c>
      <c r="I1082">
        <v>4921</v>
      </c>
      <c r="J1082" t="s">
        <v>94</v>
      </c>
      <c r="K1082">
        <v>13770.59</v>
      </c>
      <c r="M1082">
        <v>13770.59</v>
      </c>
      <c r="N1082" t="s">
        <v>40</v>
      </c>
      <c r="O1082" s="1">
        <v>46156</v>
      </c>
      <c r="P1082" s="1">
        <v>46188</v>
      </c>
    </row>
    <row r="1083" spans="1:26" x14ac:dyDescent="0.25">
      <c r="A1083">
        <f t="shared" ref="A1083:A1095" ca="1" si="86">+ Cmde</f>
        <v>0</v>
      </c>
      <c r="C1083">
        <f t="shared" ref="C1083:C1095" ca="1" si="87">+ Devis</f>
        <v>0</v>
      </c>
      <c r="D1083" t="s">
        <v>41</v>
      </c>
      <c r="E1083" t="s">
        <v>27</v>
      </c>
      <c r="F1083">
        <v>831</v>
      </c>
      <c r="G1083" t="s">
        <v>42</v>
      </c>
      <c r="H1083" t="s">
        <v>2231</v>
      </c>
      <c r="I1083" t="s">
        <v>44</v>
      </c>
      <c r="J1083" t="s">
        <v>41</v>
      </c>
      <c r="K1083" t="s">
        <v>31</v>
      </c>
      <c r="L1083" t="s">
        <v>2232</v>
      </c>
      <c r="M1083">
        <v>5000</v>
      </c>
      <c r="N1083">
        <v>367</v>
      </c>
      <c r="O1083">
        <v>5127437</v>
      </c>
      <c r="P1083">
        <v>4921</v>
      </c>
      <c r="Q1083" t="s">
        <v>94</v>
      </c>
      <c r="U1083" t="s">
        <v>107</v>
      </c>
      <c r="V1083" s="1">
        <v>46295</v>
      </c>
      <c r="W1083" s="1">
        <v>46341</v>
      </c>
    </row>
    <row r="1084" spans="1:26" x14ac:dyDescent="0.25">
      <c r="A1084">
        <f t="shared" ca="1" si="86"/>
        <v>0</v>
      </c>
      <c r="C1084">
        <f t="shared" ca="1" si="87"/>
        <v>0</v>
      </c>
      <c r="D1084" t="s">
        <v>41</v>
      </c>
      <c r="E1084" t="s">
        <v>27</v>
      </c>
      <c r="F1084">
        <v>1114</v>
      </c>
      <c r="G1084" t="s">
        <v>114</v>
      </c>
      <c r="H1084" t="s">
        <v>2233</v>
      </c>
      <c r="I1084" t="s">
        <v>44</v>
      </c>
      <c r="J1084" t="s">
        <v>41</v>
      </c>
      <c r="K1084" t="s">
        <v>31</v>
      </c>
      <c r="L1084" t="s">
        <v>1263</v>
      </c>
      <c r="M1084">
        <v>5000</v>
      </c>
      <c r="N1084">
        <v>368</v>
      </c>
      <c r="X1084" t="s">
        <v>371</v>
      </c>
    </row>
    <row r="1085" spans="1:26" x14ac:dyDescent="0.25">
      <c r="A1085">
        <f t="shared" ca="1" si="86"/>
        <v>0</v>
      </c>
      <c r="C1085">
        <f t="shared" ca="1" si="87"/>
        <v>0</v>
      </c>
      <c r="D1085" t="s">
        <v>35</v>
      </c>
      <c r="E1085" t="s">
        <v>27</v>
      </c>
      <c r="F1085">
        <v>603</v>
      </c>
      <c r="G1085" t="s">
        <v>70</v>
      </c>
      <c r="H1085" t="s">
        <v>2234</v>
      </c>
      <c r="I1085" t="s">
        <v>30</v>
      </c>
      <c r="J1085" t="s">
        <v>35</v>
      </c>
      <c r="K1085" t="s">
        <v>31</v>
      </c>
      <c r="L1085" t="s">
        <v>2235</v>
      </c>
      <c r="M1085">
        <v>5000</v>
      </c>
      <c r="N1085">
        <v>369</v>
      </c>
      <c r="O1085">
        <v>5126678</v>
      </c>
      <c r="P1085">
        <v>1701</v>
      </c>
      <c r="Q1085" t="s">
        <v>459</v>
      </c>
      <c r="R1085">
        <v>4015</v>
      </c>
      <c r="T1085">
        <v>4015</v>
      </c>
      <c r="U1085" t="s">
        <v>107</v>
      </c>
      <c r="V1085" s="1">
        <v>46285</v>
      </c>
      <c r="W1085" s="1">
        <v>46295</v>
      </c>
    </row>
    <row r="1086" spans="1:26" x14ac:dyDescent="0.25">
      <c r="A1086">
        <f t="shared" ca="1" si="86"/>
        <v>0</v>
      </c>
      <c r="C1086">
        <f t="shared" ca="1" si="87"/>
        <v>0</v>
      </c>
      <c r="D1086" t="s">
        <v>95</v>
      </c>
      <c r="E1086" t="s">
        <v>27</v>
      </c>
      <c r="F1086">
        <v>727</v>
      </c>
      <c r="G1086" t="s">
        <v>70</v>
      </c>
      <c r="H1086" t="s">
        <v>2236</v>
      </c>
      <c r="I1086" t="s">
        <v>30</v>
      </c>
      <c r="J1086" t="s">
        <v>95</v>
      </c>
      <c r="K1086" t="s">
        <v>31</v>
      </c>
      <c r="L1086" t="s">
        <v>2237</v>
      </c>
      <c r="M1086">
        <v>5000</v>
      </c>
      <c r="N1086">
        <v>371</v>
      </c>
      <c r="X1086" t="s">
        <v>2238</v>
      </c>
    </row>
    <row r="1087" spans="1:26" x14ac:dyDescent="0.25">
      <c r="A1087">
        <f t="shared" ca="1" si="86"/>
        <v>0</v>
      </c>
      <c r="C1087">
        <f t="shared" ca="1" si="87"/>
        <v>0</v>
      </c>
      <c r="D1087" t="s">
        <v>95</v>
      </c>
      <c r="E1087" t="s">
        <v>27</v>
      </c>
      <c r="F1087">
        <v>45</v>
      </c>
      <c r="G1087" t="s">
        <v>36</v>
      </c>
      <c r="H1087" t="s">
        <v>2239</v>
      </c>
      <c r="I1087" t="s">
        <v>30</v>
      </c>
      <c r="J1087" t="s">
        <v>95</v>
      </c>
      <c r="K1087" t="s">
        <v>31</v>
      </c>
      <c r="L1087" t="s">
        <v>1156</v>
      </c>
      <c r="M1087">
        <v>12000</v>
      </c>
      <c r="N1087">
        <v>372</v>
      </c>
      <c r="O1087">
        <v>5072420</v>
      </c>
      <c r="P1087">
        <v>6632</v>
      </c>
      <c r="Q1087" t="s">
        <v>1041</v>
      </c>
      <c r="R1087">
        <v>3004.68</v>
      </c>
      <c r="S1087">
        <v>3004.68</v>
      </c>
      <c r="T1087">
        <v>0</v>
      </c>
      <c r="U1087" t="s">
        <v>34</v>
      </c>
      <c r="V1087" s="1">
        <v>46157</v>
      </c>
      <c r="W1087" s="1">
        <v>46172</v>
      </c>
    </row>
    <row r="1088" spans="1:26" x14ac:dyDescent="0.25">
      <c r="A1088">
        <f t="shared" ca="1" si="86"/>
        <v>0</v>
      </c>
      <c r="C1088">
        <f t="shared" ca="1" si="87"/>
        <v>0</v>
      </c>
      <c r="D1088" t="s">
        <v>355</v>
      </c>
      <c r="E1088" t="s">
        <v>27</v>
      </c>
      <c r="F1088">
        <v>603</v>
      </c>
      <c r="G1088" t="s">
        <v>70</v>
      </c>
      <c r="H1088" t="s">
        <v>2240</v>
      </c>
      <c r="I1088" t="s">
        <v>30</v>
      </c>
      <c r="J1088" t="s">
        <v>355</v>
      </c>
      <c r="K1088" t="s">
        <v>31</v>
      </c>
      <c r="L1088" t="s">
        <v>2241</v>
      </c>
      <c r="M1088">
        <v>7000</v>
      </c>
      <c r="N1088">
        <v>374</v>
      </c>
      <c r="O1088">
        <v>5101247</v>
      </c>
      <c r="P1088">
        <v>1049</v>
      </c>
      <c r="Q1088" t="s">
        <v>1712</v>
      </c>
      <c r="R1088">
        <v>12680.68</v>
      </c>
      <c r="T1088">
        <v>12680.68</v>
      </c>
      <c r="U1088" t="s">
        <v>40</v>
      </c>
      <c r="V1088" s="1">
        <v>46266</v>
      </c>
      <c r="W1088" s="1">
        <v>46295</v>
      </c>
      <c r="X1088" t="s">
        <v>2242</v>
      </c>
    </row>
    <row r="1089" spans="1:26" x14ac:dyDescent="0.25">
      <c r="A1089">
        <f t="shared" ca="1" si="86"/>
        <v>0</v>
      </c>
      <c r="C1089">
        <f t="shared" ca="1" si="87"/>
        <v>0</v>
      </c>
      <c r="D1089" t="s">
        <v>562</v>
      </c>
      <c r="E1089" t="s">
        <v>27</v>
      </c>
      <c r="F1089">
        <v>300</v>
      </c>
      <c r="G1089" t="s">
        <v>85</v>
      </c>
      <c r="H1089" t="s">
        <v>2243</v>
      </c>
      <c r="I1089" t="s">
        <v>30</v>
      </c>
      <c r="J1089" t="s">
        <v>562</v>
      </c>
      <c r="K1089" t="s">
        <v>31</v>
      </c>
      <c r="L1089" t="s">
        <v>2244</v>
      </c>
      <c r="M1089">
        <v>3000</v>
      </c>
      <c r="N1089">
        <v>376</v>
      </c>
      <c r="X1089" t="s">
        <v>2126</v>
      </c>
    </row>
    <row r="1090" spans="1:26" x14ac:dyDescent="0.25">
      <c r="A1090">
        <f t="shared" ca="1" si="86"/>
        <v>0</v>
      </c>
      <c r="C1090">
        <f t="shared" ca="1" si="87"/>
        <v>0</v>
      </c>
      <c r="D1090" t="s">
        <v>562</v>
      </c>
      <c r="E1090" t="s">
        <v>27</v>
      </c>
      <c r="F1090">
        <v>45</v>
      </c>
      <c r="G1090" t="s">
        <v>36</v>
      </c>
      <c r="H1090" t="s">
        <v>2245</v>
      </c>
      <c r="I1090" t="s">
        <v>30</v>
      </c>
      <c r="J1090" t="s">
        <v>562</v>
      </c>
      <c r="K1090" t="s">
        <v>31</v>
      </c>
      <c r="L1090" t="s">
        <v>2246</v>
      </c>
      <c r="M1090">
        <v>5000</v>
      </c>
      <c r="N1090">
        <v>377</v>
      </c>
      <c r="X1090" t="s">
        <v>2126</v>
      </c>
    </row>
    <row r="1091" spans="1:26" x14ac:dyDescent="0.25">
      <c r="A1091">
        <f t="shared" ca="1" si="86"/>
        <v>0</v>
      </c>
      <c r="C1091">
        <f t="shared" ca="1" si="87"/>
        <v>0</v>
      </c>
      <c r="D1091" t="s">
        <v>26</v>
      </c>
      <c r="E1091" t="s">
        <v>27</v>
      </c>
      <c r="F1091">
        <v>27</v>
      </c>
      <c r="G1091" t="s">
        <v>70</v>
      </c>
      <c r="H1091" t="s">
        <v>2247</v>
      </c>
      <c r="I1091" t="s">
        <v>30</v>
      </c>
      <c r="J1091" t="s">
        <v>26</v>
      </c>
      <c r="K1091" t="s">
        <v>31</v>
      </c>
      <c r="L1091" t="s">
        <v>2248</v>
      </c>
      <c r="M1091">
        <v>15000</v>
      </c>
      <c r="N1091">
        <v>378</v>
      </c>
      <c r="O1091">
        <v>5042275</v>
      </c>
      <c r="P1091">
        <v>5197</v>
      </c>
      <c r="Q1091" t="s">
        <v>132</v>
      </c>
      <c r="R1091">
        <v>11880</v>
      </c>
      <c r="S1091">
        <v>11880</v>
      </c>
      <c r="T1091">
        <v>0</v>
      </c>
      <c r="U1091" t="s">
        <v>34</v>
      </c>
      <c r="V1091" s="1">
        <v>46157</v>
      </c>
      <c r="W1091" s="1">
        <v>46188</v>
      </c>
      <c r="Y1091" t="s">
        <v>104</v>
      </c>
      <c r="Z1091" s="1">
        <v>46142</v>
      </c>
    </row>
    <row r="1092" spans="1:26" x14ac:dyDescent="0.25">
      <c r="A1092">
        <f t="shared" ca="1" si="86"/>
        <v>0</v>
      </c>
      <c r="C1092">
        <f t="shared" ca="1" si="87"/>
        <v>0</v>
      </c>
      <c r="D1092" t="s">
        <v>26</v>
      </c>
      <c r="E1092" t="s">
        <v>27</v>
      </c>
      <c r="F1092">
        <v>345</v>
      </c>
      <c r="G1092" t="s">
        <v>75</v>
      </c>
      <c r="H1092" t="s">
        <v>2249</v>
      </c>
      <c r="I1092" t="s">
        <v>30</v>
      </c>
      <c r="J1092" t="s">
        <v>26</v>
      </c>
      <c r="K1092" t="s">
        <v>31</v>
      </c>
      <c r="L1092" t="s">
        <v>2250</v>
      </c>
      <c r="M1092">
        <v>5000</v>
      </c>
      <c r="N1092">
        <v>379</v>
      </c>
      <c r="O1092">
        <v>5079353</v>
      </c>
      <c r="P1092">
        <v>81</v>
      </c>
      <c r="Q1092" t="s">
        <v>102</v>
      </c>
      <c r="R1092">
        <v>4384.1099999999997</v>
      </c>
      <c r="T1092">
        <v>4384.1099999999997</v>
      </c>
      <c r="U1092" t="s">
        <v>40</v>
      </c>
      <c r="V1092" s="1">
        <v>46204</v>
      </c>
      <c r="W1092" s="1">
        <v>46233</v>
      </c>
      <c r="X1092" t="s">
        <v>2126</v>
      </c>
    </row>
    <row r="1093" spans="1:26" x14ac:dyDescent="0.25">
      <c r="A1093">
        <f t="shared" ca="1" si="86"/>
        <v>0</v>
      </c>
      <c r="C1093">
        <f t="shared" ca="1" si="87"/>
        <v>0</v>
      </c>
      <c r="D1093" t="s">
        <v>562</v>
      </c>
      <c r="E1093" t="s">
        <v>27</v>
      </c>
      <c r="F1093">
        <v>603</v>
      </c>
      <c r="G1093" t="s">
        <v>70</v>
      </c>
      <c r="H1093" t="s">
        <v>1565</v>
      </c>
      <c r="I1093" t="s">
        <v>30</v>
      </c>
      <c r="J1093" t="s">
        <v>562</v>
      </c>
      <c r="K1093" t="s">
        <v>31</v>
      </c>
      <c r="L1093" t="s">
        <v>2251</v>
      </c>
      <c r="M1093">
        <v>5000</v>
      </c>
      <c r="N1093">
        <v>380</v>
      </c>
      <c r="O1093">
        <v>5031038</v>
      </c>
      <c r="P1093">
        <v>81</v>
      </c>
      <c r="Q1093" t="s">
        <v>102</v>
      </c>
      <c r="R1093">
        <v>2677.95</v>
      </c>
      <c r="T1093">
        <v>2677.95</v>
      </c>
      <c r="U1093" t="s">
        <v>40</v>
      </c>
      <c r="V1093" s="1">
        <v>46096</v>
      </c>
      <c r="W1093" s="1">
        <v>46143</v>
      </c>
      <c r="Y1093" t="s">
        <v>676</v>
      </c>
      <c r="Z1093" s="1">
        <v>46084</v>
      </c>
    </row>
    <row r="1094" spans="1:26" x14ac:dyDescent="0.25">
      <c r="A1094">
        <f t="shared" ca="1" si="86"/>
        <v>0</v>
      </c>
      <c r="C1094">
        <f t="shared" ca="1" si="87"/>
        <v>0</v>
      </c>
      <c r="D1094" t="s">
        <v>95</v>
      </c>
      <c r="E1094" t="s">
        <v>27</v>
      </c>
      <c r="F1094">
        <v>300</v>
      </c>
      <c r="G1094" t="s">
        <v>85</v>
      </c>
      <c r="H1094" t="s">
        <v>1356</v>
      </c>
      <c r="I1094" t="s">
        <v>30</v>
      </c>
      <c r="J1094" t="s">
        <v>95</v>
      </c>
      <c r="K1094" t="s">
        <v>31</v>
      </c>
      <c r="L1094" t="s">
        <v>2252</v>
      </c>
      <c r="M1094">
        <v>10000</v>
      </c>
      <c r="N1094">
        <v>382</v>
      </c>
      <c r="O1094">
        <v>5052828</v>
      </c>
      <c r="P1094">
        <v>6632</v>
      </c>
      <c r="Q1094" t="s">
        <v>1041</v>
      </c>
      <c r="R1094">
        <v>2925.01</v>
      </c>
      <c r="S1094">
        <v>2925.01</v>
      </c>
      <c r="U1094" t="s">
        <v>40</v>
      </c>
      <c r="V1094" s="1">
        <v>46106</v>
      </c>
      <c r="W1094" s="1">
        <v>46107</v>
      </c>
    </row>
    <row r="1095" spans="1:26" x14ac:dyDescent="0.25">
      <c r="A1095">
        <f t="shared" ca="1" si="86"/>
        <v>0</v>
      </c>
      <c r="C1095">
        <f t="shared" ca="1" si="87"/>
        <v>0</v>
      </c>
      <c r="D1095" t="s">
        <v>95</v>
      </c>
      <c r="E1095" t="s">
        <v>27</v>
      </c>
      <c r="F1095">
        <v>45</v>
      </c>
      <c r="G1095" t="s">
        <v>36</v>
      </c>
      <c r="H1095" t="s">
        <v>164</v>
      </c>
    </row>
    <row r="1096" spans="1:26" x14ac:dyDescent="0.25">
      <c r="A1096" t="s">
        <v>2253</v>
      </c>
      <c r="B1096" t="s">
        <v>30</v>
      </c>
      <c r="C1096" t="s">
        <v>95</v>
      </c>
      <c r="D1096" t="s">
        <v>31</v>
      </c>
      <c r="E1096" t="s">
        <v>2254</v>
      </c>
      <c r="F1096">
        <v>10000</v>
      </c>
      <c r="G1096">
        <v>383</v>
      </c>
      <c r="H1096">
        <v>5063821</v>
      </c>
      <c r="I1096">
        <v>153</v>
      </c>
      <c r="J1096" t="s">
        <v>98</v>
      </c>
      <c r="K1096">
        <v>15884.11</v>
      </c>
      <c r="L1096">
        <v>15884.11</v>
      </c>
      <c r="M1096">
        <v>0</v>
      </c>
      <c r="N1096" t="s">
        <v>34</v>
      </c>
      <c r="O1096" s="1">
        <v>46142</v>
      </c>
      <c r="P1096" s="1">
        <v>46172</v>
      </c>
    </row>
    <row r="1097" spans="1:26" x14ac:dyDescent="0.25">
      <c r="A1097">
        <f t="shared" ref="A1097:A1128" ca="1" si="88">+ Cmde</f>
        <v>0</v>
      </c>
      <c r="C1097">
        <f t="shared" ref="C1097:C1128" ca="1" si="89">+ Devis</f>
        <v>0</v>
      </c>
      <c r="D1097" t="s">
        <v>26</v>
      </c>
      <c r="E1097" t="s">
        <v>27</v>
      </c>
      <c r="F1097">
        <v>294</v>
      </c>
      <c r="G1097" t="s">
        <v>28</v>
      </c>
      <c r="H1097" t="s">
        <v>2255</v>
      </c>
      <c r="I1097" t="s">
        <v>30</v>
      </c>
      <c r="J1097" t="s">
        <v>26</v>
      </c>
      <c r="K1097" t="s">
        <v>31</v>
      </c>
      <c r="L1097" t="s">
        <v>2256</v>
      </c>
      <c r="M1097">
        <v>3000</v>
      </c>
      <c r="N1097">
        <v>384</v>
      </c>
      <c r="O1097">
        <v>5082589</v>
      </c>
      <c r="P1097">
        <v>81</v>
      </c>
      <c r="Q1097" t="s">
        <v>102</v>
      </c>
      <c r="R1097">
        <v>4994.03</v>
      </c>
      <c r="T1097">
        <v>4994.03</v>
      </c>
      <c r="U1097" t="s">
        <v>40</v>
      </c>
      <c r="V1097" s="1">
        <v>46266</v>
      </c>
      <c r="W1097" s="1">
        <v>46327</v>
      </c>
    </row>
    <row r="1098" spans="1:26" x14ac:dyDescent="0.25">
      <c r="A1098">
        <f t="shared" ca="1" si="88"/>
        <v>0</v>
      </c>
      <c r="C1098">
        <f t="shared" ca="1" si="89"/>
        <v>0</v>
      </c>
      <c r="D1098" t="s">
        <v>26</v>
      </c>
      <c r="E1098" t="s">
        <v>27</v>
      </c>
      <c r="F1098">
        <v>745</v>
      </c>
      <c r="G1098" t="s">
        <v>36</v>
      </c>
      <c r="H1098" t="s">
        <v>2257</v>
      </c>
      <c r="I1098" t="s">
        <v>30</v>
      </c>
      <c r="J1098" t="s">
        <v>26</v>
      </c>
      <c r="K1098" t="s">
        <v>31</v>
      </c>
      <c r="L1098" t="s">
        <v>2258</v>
      </c>
      <c r="M1098">
        <v>5000</v>
      </c>
      <c r="N1098">
        <v>385</v>
      </c>
      <c r="X1098" t="s">
        <v>1820</v>
      </c>
    </row>
    <row r="1099" spans="1:26" x14ac:dyDescent="0.25">
      <c r="A1099">
        <f t="shared" ca="1" si="88"/>
        <v>0</v>
      </c>
      <c r="C1099">
        <f t="shared" ca="1" si="89"/>
        <v>0</v>
      </c>
      <c r="D1099" t="s">
        <v>26</v>
      </c>
      <c r="E1099" t="s">
        <v>27</v>
      </c>
      <c r="F1099">
        <v>745</v>
      </c>
      <c r="G1099" t="s">
        <v>36</v>
      </c>
      <c r="H1099" t="s">
        <v>2257</v>
      </c>
      <c r="I1099" t="s">
        <v>30</v>
      </c>
      <c r="J1099" t="s">
        <v>26</v>
      </c>
      <c r="K1099" t="s">
        <v>31</v>
      </c>
      <c r="L1099" t="s">
        <v>2259</v>
      </c>
      <c r="M1099">
        <v>15000</v>
      </c>
      <c r="N1099">
        <v>386</v>
      </c>
      <c r="X1099" t="s">
        <v>2260</v>
      </c>
    </row>
    <row r="1100" spans="1:26" x14ac:dyDescent="0.25">
      <c r="A1100">
        <f t="shared" ca="1" si="88"/>
        <v>0</v>
      </c>
      <c r="C1100">
        <f t="shared" ca="1" si="89"/>
        <v>0</v>
      </c>
      <c r="D1100" t="s">
        <v>26</v>
      </c>
      <c r="E1100" t="s">
        <v>27</v>
      </c>
      <c r="F1100">
        <v>864</v>
      </c>
      <c r="G1100" t="s">
        <v>75</v>
      </c>
      <c r="H1100" t="s">
        <v>2261</v>
      </c>
      <c r="I1100" t="s">
        <v>30</v>
      </c>
      <c r="J1100" t="s">
        <v>26</v>
      </c>
      <c r="K1100" t="s">
        <v>31</v>
      </c>
      <c r="L1100" t="s">
        <v>2259</v>
      </c>
      <c r="M1100">
        <v>6000</v>
      </c>
      <c r="N1100">
        <v>387</v>
      </c>
      <c r="O1100">
        <v>5102670</v>
      </c>
      <c r="P1100">
        <v>81</v>
      </c>
      <c r="Q1100" t="s">
        <v>102</v>
      </c>
      <c r="R1100">
        <v>4172.22</v>
      </c>
      <c r="T1100">
        <v>4172.22</v>
      </c>
      <c r="U1100" t="s">
        <v>40</v>
      </c>
      <c r="V1100" s="1">
        <v>46266</v>
      </c>
      <c r="W1100" s="1">
        <v>46310</v>
      </c>
      <c r="X1100" t="s">
        <v>103</v>
      </c>
    </row>
    <row r="1101" spans="1:26" x14ac:dyDescent="0.25">
      <c r="A1101">
        <f t="shared" ca="1" si="88"/>
        <v>0</v>
      </c>
      <c r="C1101">
        <f t="shared" ca="1" si="89"/>
        <v>0</v>
      </c>
      <c r="D1101" t="s">
        <v>95</v>
      </c>
      <c r="E1101" t="s">
        <v>27</v>
      </c>
      <c r="F1101">
        <v>1954</v>
      </c>
      <c r="G1101" t="s">
        <v>42</v>
      </c>
      <c r="H1101" t="s">
        <v>2262</v>
      </c>
      <c r="I1101" t="s">
        <v>30</v>
      </c>
      <c r="J1101" t="s">
        <v>95</v>
      </c>
      <c r="K1101" t="s">
        <v>31</v>
      </c>
      <c r="L1101" t="s">
        <v>2263</v>
      </c>
      <c r="M1101">
        <v>8000</v>
      </c>
      <c r="N1101">
        <v>389</v>
      </c>
      <c r="X1101" t="s">
        <v>371</v>
      </c>
    </row>
    <row r="1102" spans="1:26" x14ac:dyDescent="0.25">
      <c r="A1102">
        <f t="shared" ca="1" si="88"/>
        <v>0</v>
      </c>
      <c r="C1102">
        <f t="shared" ca="1" si="89"/>
        <v>0</v>
      </c>
      <c r="D1102" t="s">
        <v>35</v>
      </c>
      <c r="E1102" t="s">
        <v>27</v>
      </c>
      <c r="F1102">
        <v>285</v>
      </c>
      <c r="G1102" t="s">
        <v>114</v>
      </c>
      <c r="H1102" t="s">
        <v>2264</v>
      </c>
      <c r="I1102" t="s">
        <v>30</v>
      </c>
      <c r="J1102" t="s">
        <v>35</v>
      </c>
      <c r="K1102" t="s">
        <v>31</v>
      </c>
      <c r="L1102" t="s">
        <v>2265</v>
      </c>
      <c r="M1102">
        <v>5000</v>
      </c>
      <c r="N1102">
        <v>392</v>
      </c>
      <c r="X1102" t="s">
        <v>1820</v>
      </c>
    </row>
    <row r="1103" spans="1:26" x14ac:dyDescent="0.25">
      <c r="A1103">
        <f t="shared" ca="1" si="88"/>
        <v>0</v>
      </c>
      <c r="C1103">
        <f t="shared" ca="1" si="89"/>
        <v>0</v>
      </c>
      <c r="D1103" t="s">
        <v>95</v>
      </c>
      <c r="E1103" t="s">
        <v>49</v>
      </c>
      <c r="F1103">
        <v>1581</v>
      </c>
      <c r="G1103" t="s">
        <v>670</v>
      </c>
      <c r="H1103" t="s">
        <v>2266</v>
      </c>
      <c r="I1103" t="s">
        <v>30</v>
      </c>
      <c r="J1103" t="s">
        <v>95</v>
      </c>
      <c r="K1103" t="s">
        <v>326</v>
      </c>
      <c r="L1103" t="s">
        <v>2267</v>
      </c>
      <c r="M1103">
        <v>18000</v>
      </c>
      <c r="N1103">
        <v>651</v>
      </c>
      <c r="O1103">
        <v>5018829</v>
      </c>
      <c r="P1103">
        <v>6455</v>
      </c>
      <c r="Q1103" t="s">
        <v>39</v>
      </c>
      <c r="R1103">
        <v>19140</v>
      </c>
      <c r="S1103">
        <v>19140</v>
      </c>
      <c r="T1103">
        <v>0</v>
      </c>
      <c r="U1103" t="s">
        <v>34</v>
      </c>
      <c r="V1103" s="1">
        <v>46062</v>
      </c>
      <c r="W1103" s="1">
        <v>46136</v>
      </c>
    </row>
    <row r="1104" spans="1:26" x14ac:dyDescent="0.25">
      <c r="A1104">
        <f t="shared" ca="1" si="88"/>
        <v>0</v>
      </c>
      <c r="C1104">
        <f t="shared" ca="1" si="89"/>
        <v>0</v>
      </c>
      <c r="D1104" t="s">
        <v>368</v>
      </c>
      <c r="E1104" t="s">
        <v>445</v>
      </c>
      <c r="F1104">
        <v>1430</v>
      </c>
      <c r="G1104" t="s">
        <v>508</v>
      </c>
      <c r="H1104" t="s">
        <v>2268</v>
      </c>
      <c r="I1104" t="s">
        <v>187</v>
      </c>
      <c r="J1104" t="s">
        <v>368</v>
      </c>
      <c r="K1104" t="s">
        <v>448</v>
      </c>
      <c r="L1104" t="s">
        <v>2269</v>
      </c>
      <c r="M1104">
        <v>3000</v>
      </c>
      <c r="N1104">
        <v>527</v>
      </c>
    </row>
    <row r="1105" spans="1:23" x14ac:dyDescent="0.25">
      <c r="A1105">
        <f t="shared" ca="1" si="88"/>
        <v>0</v>
      </c>
      <c r="C1105">
        <f t="shared" ca="1" si="89"/>
        <v>0</v>
      </c>
      <c r="D1105" t="s">
        <v>57</v>
      </c>
      <c r="E1105" t="s">
        <v>184</v>
      </c>
      <c r="F1105">
        <v>971</v>
      </c>
      <c r="G1105" t="s">
        <v>192</v>
      </c>
      <c r="H1105" t="s">
        <v>2270</v>
      </c>
      <c r="I1105" t="s">
        <v>44</v>
      </c>
      <c r="J1105" t="s">
        <v>57</v>
      </c>
      <c r="K1105" t="s">
        <v>188</v>
      </c>
      <c r="L1105" t="s">
        <v>2271</v>
      </c>
      <c r="M1105">
        <v>12000</v>
      </c>
      <c r="N1105">
        <v>454</v>
      </c>
      <c r="O1105">
        <v>5049770</v>
      </c>
      <c r="P1105">
        <v>4787</v>
      </c>
      <c r="Q1105" t="s">
        <v>206</v>
      </c>
      <c r="R1105">
        <v>12826.79</v>
      </c>
      <c r="S1105">
        <v>12826.79</v>
      </c>
      <c r="T1105">
        <v>0</v>
      </c>
      <c r="U1105" t="s">
        <v>34</v>
      </c>
      <c r="V1105" s="1">
        <v>46158</v>
      </c>
      <c r="W1105" s="1">
        <v>46188</v>
      </c>
    </row>
    <row r="1106" spans="1:23" x14ac:dyDescent="0.25">
      <c r="A1106">
        <f t="shared" ca="1" si="88"/>
        <v>0</v>
      </c>
      <c r="C1106">
        <f t="shared" ca="1" si="89"/>
        <v>0</v>
      </c>
      <c r="D1106" t="s">
        <v>35</v>
      </c>
      <c r="E1106" t="s">
        <v>64</v>
      </c>
      <c r="F1106">
        <v>106</v>
      </c>
      <c r="G1106" t="s">
        <v>311</v>
      </c>
      <c r="H1106" t="s">
        <v>2272</v>
      </c>
      <c r="I1106" t="s">
        <v>30</v>
      </c>
      <c r="J1106" t="s">
        <v>35</v>
      </c>
      <c r="K1106" t="s">
        <v>67</v>
      </c>
      <c r="L1106" t="s">
        <v>2273</v>
      </c>
      <c r="O1106">
        <v>5059605</v>
      </c>
      <c r="P1106">
        <v>6364</v>
      </c>
      <c r="Q1106" t="s">
        <v>331</v>
      </c>
      <c r="R1106">
        <v>2667.21</v>
      </c>
      <c r="S1106">
        <v>2667.21</v>
      </c>
      <c r="T1106">
        <v>0</v>
      </c>
      <c r="U1106" t="s">
        <v>40</v>
      </c>
      <c r="V1106" s="1">
        <v>46125</v>
      </c>
      <c r="W1106" s="1">
        <v>46126</v>
      </c>
    </row>
    <row r="1107" spans="1:23" x14ac:dyDescent="0.25">
      <c r="A1107">
        <f t="shared" ca="1" si="88"/>
        <v>0</v>
      </c>
      <c r="C1107">
        <f t="shared" ca="1" si="89"/>
        <v>0</v>
      </c>
      <c r="D1107" t="s">
        <v>209</v>
      </c>
      <c r="E1107" t="s">
        <v>64</v>
      </c>
      <c r="F1107">
        <v>121</v>
      </c>
      <c r="G1107" t="s">
        <v>311</v>
      </c>
      <c r="H1107" t="s">
        <v>1731</v>
      </c>
      <c r="I1107" t="s">
        <v>44</v>
      </c>
      <c r="J1107" t="s">
        <v>209</v>
      </c>
      <c r="K1107" t="s">
        <v>67</v>
      </c>
      <c r="L1107" t="s">
        <v>2274</v>
      </c>
      <c r="M1107">
        <v>14000</v>
      </c>
      <c r="N1107">
        <v>111</v>
      </c>
      <c r="O1107">
        <v>5059661</v>
      </c>
      <c r="P1107">
        <v>2391</v>
      </c>
      <c r="Q1107" t="s">
        <v>314</v>
      </c>
      <c r="R1107">
        <v>2670.47</v>
      </c>
      <c r="S1107">
        <v>2670.47</v>
      </c>
      <c r="T1107">
        <v>0</v>
      </c>
      <c r="U1107" t="s">
        <v>40</v>
      </c>
      <c r="V1107" s="1">
        <v>46188</v>
      </c>
      <c r="W1107" s="1">
        <v>46188</v>
      </c>
    </row>
    <row r="1108" spans="1:23" x14ac:dyDescent="0.25">
      <c r="A1108">
        <f t="shared" ca="1" si="88"/>
        <v>0</v>
      </c>
      <c r="C1108">
        <f t="shared" ca="1" si="89"/>
        <v>0</v>
      </c>
      <c r="D1108" t="s">
        <v>57</v>
      </c>
      <c r="E1108" t="s">
        <v>184</v>
      </c>
      <c r="F1108">
        <v>971</v>
      </c>
      <c r="G1108" t="s">
        <v>192</v>
      </c>
      <c r="H1108" t="s">
        <v>2275</v>
      </c>
      <c r="I1108" t="s">
        <v>44</v>
      </c>
      <c r="J1108" t="s">
        <v>57</v>
      </c>
      <c r="K1108" t="s">
        <v>188</v>
      </c>
      <c r="L1108" t="s">
        <v>2276</v>
      </c>
      <c r="M1108">
        <v>12000</v>
      </c>
      <c r="N1108">
        <v>454</v>
      </c>
      <c r="O1108">
        <v>5067407</v>
      </c>
      <c r="P1108">
        <v>4787</v>
      </c>
      <c r="Q1108" t="s">
        <v>206</v>
      </c>
      <c r="R1108">
        <v>7621.03</v>
      </c>
      <c r="S1108">
        <v>7621.03</v>
      </c>
      <c r="T1108">
        <v>0</v>
      </c>
      <c r="U1108" t="s">
        <v>34</v>
      </c>
    </row>
    <row r="1109" spans="1:23" x14ac:dyDescent="0.25">
      <c r="A1109">
        <f t="shared" ca="1" si="88"/>
        <v>0</v>
      </c>
      <c r="C1109">
        <f t="shared" ca="1" si="89"/>
        <v>0</v>
      </c>
      <c r="D1109" t="s">
        <v>196</v>
      </c>
      <c r="E1109" t="s">
        <v>184</v>
      </c>
      <c r="F1109">
        <v>908</v>
      </c>
      <c r="G1109" t="s">
        <v>185</v>
      </c>
      <c r="H1109" t="s">
        <v>2277</v>
      </c>
      <c r="I1109" t="s">
        <v>187</v>
      </c>
      <c r="J1109" t="s">
        <v>196</v>
      </c>
      <c r="K1109" t="s">
        <v>188</v>
      </c>
      <c r="L1109" t="s">
        <v>2278</v>
      </c>
      <c r="M1109">
        <v>18000</v>
      </c>
      <c r="N1109">
        <v>444</v>
      </c>
      <c r="O1109">
        <v>5067427</v>
      </c>
      <c r="P1109">
        <v>5597</v>
      </c>
      <c r="Q1109" t="s">
        <v>190</v>
      </c>
      <c r="R1109">
        <v>1925</v>
      </c>
      <c r="T1109">
        <v>1925</v>
      </c>
    </row>
    <row r="1110" spans="1:23" x14ac:dyDescent="0.25">
      <c r="A1110">
        <f t="shared" ca="1" si="88"/>
        <v>0</v>
      </c>
      <c r="C1110">
        <f t="shared" ca="1" si="89"/>
        <v>0</v>
      </c>
      <c r="D1110" t="s">
        <v>196</v>
      </c>
      <c r="E1110" t="s">
        <v>184</v>
      </c>
      <c r="F1110">
        <v>908</v>
      </c>
      <c r="G1110" t="s">
        <v>185</v>
      </c>
      <c r="H1110" t="s">
        <v>2279</v>
      </c>
      <c r="I1110" t="s">
        <v>187</v>
      </c>
      <c r="J1110" t="s">
        <v>196</v>
      </c>
      <c r="K1110" t="s">
        <v>188</v>
      </c>
      <c r="L1110" t="s">
        <v>2280</v>
      </c>
      <c r="M1110">
        <v>18000</v>
      </c>
      <c r="N1110">
        <v>444</v>
      </c>
      <c r="O1110">
        <v>5067433</v>
      </c>
      <c r="P1110">
        <v>5597</v>
      </c>
      <c r="Q1110" t="s">
        <v>190</v>
      </c>
      <c r="R1110">
        <v>3012.9</v>
      </c>
      <c r="T1110">
        <v>3012.9</v>
      </c>
    </row>
    <row r="1111" spans="1:23" x14ac:dyDescent="0.25">
      <c r="A1111">
        <f t="shared" ca="1" si="88"/>
        <v>0</v>
      </c>
      <c r="C1111">
        <f t="shared" ca="1" si="89"/>
        <v>0</v>
      </c>
      <c r="D1111" t="s">
        <v>209</v>
      </c>
      <c r="E1111" t="s">
        <v>64</v>
      </c>
      <c r="F1111">
        <v>103</v>
      </c>
      <c r="G1111" t="s">
        <v>588</v>
      </c>
      <c r="H1111" t="s">
        <v>1178</v>
      </c>
      <c r="I1111" t="s">
        <v>44</v>
      </c>
      <c r="J1111" t="s">
        <v>209</v>
      </c>
      <c r="K1111" t="s">
        <v>67</v>
      </c>
      <c r="L1111" t="s">
        <v>1179</v>
      </c>
      <c r="M1111">
        <v>14000</v>
      </c>
      <c r="N1111">
        <v>132</v>
      </c>
      <c r="O1111">
        <v>5069425</v>
      </c>
      <c r="P1111">
        <v>153</v>
      </c>
      <c r="Q1111" t="s">
        <v>98</v>
      </c>
      <c r="R1111">
        <v>487.45</v>
      </c>
      <c r="T1111">
        <v>487.45</v>
      </c>
      <c r="U1111" t="s">
        <v>40</v>
      </c>
      <c r="V1111" s="1">
        <v>46281</v>
      </c>
      <c r="W1111" s="1">
        <v>46281</v>
      </c>
    </row>
    <row r="1112" spans="1:23" x14ac:dyDescent="0.25">
      <c r="A1112">
        <f t="shared" ca="1" si="88"/>
        <v>0</v>
      </c>
      <c r="C1112">
        <f t="shared" ca="1" si="89"/>
        <v>0</v>
      </c>
      <c r="D1112" t="s">
        <v>209</v>
      </c>
      <c r="E1112" t="s">
        <v>64</v>
      </c>
      <c r="F1112">
        <v>103</v>
      </c>
      <c r="G1112" t="s">
        <v>588</v>
      </c>
      <c r="H1112" t="s">
        <v>1178</v>
      </c>
      <c r="I1112" t="s">
        <v>44</v>
      </c>
      <c r="J1112" t="s">
        <v>209</v>
      </c>
      <c r="K1112" t="s">
        <v>67</v>
      </c>
      <c r="L1112" t="s">
        <v>1179</v>
      </c>
      <c r="M1112">
        <v>14000</v>
      </c>
      <c r="N1112">
        <v>132</v>
      </c>
      <c r="O1112">
        <v>5069451</v>
      </c>
      <c r="P1112">
        <v>153</v>
      </c>
      <c r="Q1112" t="s">
        <v>98</v>
      </c>
      <c r="R1112">
        <v>487.45</v>
      </c>
      <c r="T1112">
        <v>487.45</v>
      </c>
      <c r="U1112" t="s">
        <v>40</v>
      </c>
      <c r="V1112" s="1">
        <v>46280</v>
      </c>
      <c r="W1112" s="1">
        <v>46280</v>
      </c>
    </row>
    <row r="1113" spans="1:23" x14ac:dyDescent="0.25">
      <c r="A1113">
        <f t="shared" ca="1" si="88"/>
        <v>0</v>
      </c>
      <c r="C1113">
        <f t="shared" ca="1" si="89"/>
        <v>0</v>
      </c>
      <c r="D1113" t="s">
        <v>26</v>
      </c>
      <c r="E1113" t="s">
        <v>900</v>
      </c>
      <c r="F1113">
        <v>865</v>
      </c>
      <c r="G1113" t="s">
        <v>1282</v>
      </c>
      <c r="H1113" t="s">
        <v>2281</v>
      </c>
      <c r="I1113" t="s">
        <v>30</v>
      </c>
      <c r="J1113" t="s">
        <v>26</v>
      </c>
      <c r="K1113" t="s">
        <v>326</v>
      </c>
      <c r="L1113" t="s">
        <v>2282</v>
      </c>
      <c r="O1113">
        <v>5070000</v>
      </c>
      <c r="P1113">
        <v>4863</v>
      </c>
      <c r="Q1113" t="s">
        <v>2283</v>
      </c>
      <c r="R1113">
        <v>2734.57</v>
      </c>
      <c r="S1113">
        <v>2734.57</v>
      </c>
      <c r="T1113">
        <v>0</v>
      </c>
      <c r="U1113" t="s">
        <v>34</v>
      </c>
      <c r="V1113" s="1">
        <v>46209</v>
      </c>
      <c r="W1113" s="1">
        <v>46290</v>
      </c>
    </row>
    <row r="1114" spans="1:23" x14ac:dyDescent="0.25">
      <c r="A1114">
        <f t="shared" ca="1" si="88"/>
        <v>0</v>
      </c>
      <c r="C1114">
        <f t="shared" ca="1" si="89"/>
        <v>0</v>
      </c>
      <c r="D1114" t="s">
        <v>562</v>
      </c>
      <c r="E1114" t="s">
        <v>900</v>
      </c>
      <c r="F1114">
        <v>1699</v>
      </c>
      <c r="G1114" t="s">
        <v>901</v>
      </c>
      <c r="H1114" t="s">
        <v>2284</v>
      </c>
      <c r="I1114" t="s">
        <v>30</v>
      </c>
      <c r="J1114" t="s">
        <v>562</v>
      </c>
      <c r="K1114" t="s">
        <v>326</v>
      </c>
      <c r="L1114" t="s">
        <v>2285</v>
      </c>
      <c r="O1114">
        <v>5094824</v>
      </c>
      <c r="P1114">
        <v>17125</v>
      </c>
      <c r="Q1114" t="s">
        <v>721</v>
      </c>
      <c r="R1114">
        <v>8321.14</v>
      </c>
      <c r="S1114">
        <v>8321.14</v>
      </c>
      <c r="T1114">
        <v>0</v>
      </c>
      <c r="U1114" t="s">
        <v>34</v>
      </c>
      <c r="V1114" s="1">
        <v>46209</v>
      </c>
      <c r="W1114" s="1">
        <v>46262</v>
      </c>
    </row>
    <row r="1115" spans="1:23" x14ac:dyDescent="0.25">
      <c r="A1115">
        <f t="shared" ca="1" si="88"/>
        <v>0</v>
      </c>
      <c r="C1115">
        <f t="shared" ca="1" si="89"/>
        <v>0</v>
      </c>
      <c r="D1115" t="s">
        <v>74</v>
      </c>
      <c r="E1115" t="s">
        <v>237</v>
      </c>
      <c r="F1115">
        <v>1314</v>
      </c>
      <c r="G1115" t="s">
        <v>580</v>
      </c>
      <c r="H1115" t="s">
        <v>2286</v>
      </c>
      <c r="I1115" t="s">
        <v>30</v>
      </c>
      <c r="J1115" t="s">
        <v>74</v>
      </c>
      <c r="K1115" t="s">
        <v>240</v>
      </c>
      <c r="L1115" t="s">
        <v>2287</v>
      </c>
      <c r="O1115">
        <v>5099905</v>
      </c>
      <c r="P1115">
        <v>4921</v>
      </c>
      <c r="Q1115" t="s">
        <v>94</v>
      </c>
      <c r="R1115">
        <v>6124.66</v>
      </c>
      <c r="T1115">
        <v>6124.66</v>
      </c>
    </row>
    <row r="1116" spans="1:23" x14ac:dyDescent="0.25">
      <c r="A1116">
        <f t="shared" ca="1" si="88"/>
        <v>0</v>
      </c>
      <c r="C1116">
        <f t="shared" ca="1" si="89"/>
        <v>0</v>
      </c>
      <c r="D1116" t="s">
        <v>35</v>
      </c>
      <c r="E1116" t="s">
        <v>27</v>
      </c>
      <c r="F1116">
        <v>404</v>
      </c>
      <c r="G1116" t="s">
        <v>28</v>
      </c>
      <c r="H1116" t="s">
        <v>2288</v>
      </c>
      <c r="I1116" t="s">
        <v>30</v>
      </c>
      <c r="J1116" t="s">
        <v>35</v>
      </c>
      <c r="K1116" t="s">
        <v>31</v>
      </c>
      <c r="L1116" t="s">
        <v>770</v>
      </c>
      <c r="O1116">
        <v>5018864</v>
      </c>
      <c r="P1116">
        <v>6364</v>
      </c>
      <c r="Q1116" t="s">
        <v>331</v>
      </c>
      <c r="R1116">
        <v>1887.94</v>
      </c>
      <c r="S1116">
        <v>1887.94</v>
      </c>
      <c r="T1116">
        <v>0</v>
      </c>
      <c r="U1116" t="s">
        <v>34</v>
      </c>
      <c r="V1116" s="1">
        <v>46037</v>
      </c>
      <c r="W1116" s="1">
        <v>46041</v>
      </c>
    </row>
    <row r="1117" spans="1:23" x14ac:dyDescent="0.25">
      <c r="A1117">
        <f t="shared" ca="1" si="88"/>
        <v>0</v>
      </c>
      <c r="C1117">
        <f t="shared" ca="1" si="89"/>
        <v>0</v>
      </c>
      <c r="D1117" t="s">
        <v>26</v>
      </c>
      <c r="E1117" t="s">
        <v>237</v>
      </c>
      <c r="F1117">
        <v>438</v>
      </c>
      <c r="G1117" t="s">
        <v>238</v>
      </c>
      <c r="H1117" t="s">
        <v>2289</v>
      </c>
      <c r="I1117" t="s">
        <v>30</v>
      </c>
      <c r="J1117" t="s">
        <v>26</v>
      </c>
      <c r="K1117" t="s">
        <v>240</v>
      </c>
      <c r="L1117" t="s">
        <v>2290</v>
      </c>
      <c r="O1117">
        <v>5040796</v>
      </c>
      <c r="P1117">
        <v>8302</v>
      </c>
      <c r="Q1117" t="s">
        <v>1361</v>
      </c>
      <c r="R1117">
        <v>2520.87</v>
      </c>
      <c r="S1117">
        <v>2520.87</v>
      </c>
      <c r="T1117">
        <v>0</v>
      </c>
      <c r="U1117" t="s">
        <v>34</v>
      </c>
    </row>
    <row r="1118" spans="1:23" x14ac:dyDescent="0.25">
      <c r="A1118">
        <f t="shared" ca="1" si="88"/>
        <v>0</v>
      </c>
      <c r="C1118">
        <f t="shared" ca="1" si="89"/>
        <v>0</v>
      </c>
      <c r="D1118" t="s">
        <v>355</v>
      </c>
      <c r="E1118" t="s">
        <v>237</v>
      </c>
      <c r="F1118">
        <v>18</v>
      </c>
      <c r="G1118" t="s">
        <v>887</v>
      </c>
      <c r="H1118" t="s">
        <v>1610</v>
      </c>
      <c r="I1118" t="s">
        <v>30</v>
      </c>
      <c r="J1118" t="s">
        <v>355</v>
      </c>
      <c r="K1118" t="s">
        <v>240</v>
      </c>
      <c r="L1118" t="s">
        <v>2291</v>
      </c>
      <c r="M1118">
        <v>5000</v>
      </c>
      <c r="N1118">
        <v>61</v>
      </c>
      <c r="O1118">
        <v>5042772</v>
      </c>
      <c r="P1118">
        <v>641</v>
      </c>
      <c r="Q1118" t="s">
        <v>1347</v>
      </c>
      <c r="R1118">
        <v>2068</v>
      </c>
      <c r="S1118">
        <v>2068</v>
      </c>
      <c r="T1118">
        <v>0</v>
      </c>
      <c r="U1118" t="s">
        <v>34</v>
      </c>
    </row>
    <row r="1119" spans="1:23" x14ac:dyDescent="0.25">
      <c r="A1119">
        <f t="shared" ca="1" si="88"/>
        <v>0</v>
      </c>
      <c r="C1119">
        <f t="shared" ca="1" si="89"/>
        <v>0</v>
      </c>
      <c r="D1119" t="s">
        <v>26</v>
      </c>
      <c r="E1119" t="s">
        <v>58</v>
      </c>
      <c r="F1119">
        <v>254</v>
      </c>
      <c r="G1119" t="s">
        <v>59</v>
      </c>
      <c r="H1119" t="s">
        <v>2292</v>
      </c>
      <c r="I1119" t="s">
        <v>30</v>
      </c>
      <c r="J1119" t="s">
        <v>26</v>
      </c>
      <c r="K1119" t="s">
        <v>61</v>
      </c>
      <c r="L1119" t="s">
        <v>2293</v>
      </c>
      <c r="P1119">
        <v>2979</v>
      </c>
      <c r="Q1119" t="s">
        <v>2294</v>
      </c>
      <c r="R1119">
        <v>3835.73</v>
      </c>
      <c r="S1119">
        <v>3835.73</v>
      </c>
      <c r="T1119">
        <v>0</v>
      </c>
    </row>
    <row r="1120" spans="1:23" x14ac:dyDescent="0.25">
      <c r="A1120">
        <f t="shared" ca="1" si="88"/>
        <v>0</v>
      </c>
      <c r="C1120">
        <f t="shared" ca="1" si="89"/>
        <v>0</v>
      </c>
      <c r="D1120" t="s">
        <v>41</v>
      </c>
      <c r="E1120" t="s">
        <v>58</v>
      </c>
      <c r="F1120">
        <v>446</v>
      </c>
      <c r="G1120" t="s">
        <v>747</v>
      </c>
      <c r="H1120" t="s">
        <v>2045</v>
      </c>
      <c r="I1120" t="s">
        <v>44</v>
      </c>
      <c r="J1120" t="s">
        <v>41</v>
      </c>
      <c r="K1120" t="s">
        <v>61</v>
      </c>
      <c r="L1120" t="s">
        <v>2295</v>
      </c>
      <c r="P1120">
        <v>8418</v>
      </c>
      <c r="Q1120" t="s">
        <v>2047</v>
      </c>
      <c r="R1120">
        <v>2036.8</v>
      </c>
      <c r="S1120">
        <v>2036.8</v>
      </c>
      <c r="T1120">
        <v>0</v>
      </c>
      <c r="U1120" t="s">
        <v>34</v>
      </c>
    </row>
    <row r="1121" spans="1:26" x14ac:dyDescent="0.25">
      <c r="A1121">
        <f t="shared" ca="1" si="88"/>
        <v>0</v>
      </c>
      <c r="C1121">
        <f t="shared" ca="1" si="89"/>
        <v>0</v>
      </c>
      <c r="D1121" t="s">
        <v>48</v>
      </c>
      <c r="E1121" t="s">
        <v>445</v>
      </c>
      <c r="F1121">
        <v>1400</v>
      </c>
      <c r="G1121" t="s">
        <v>446</v>
      </c>
      <c r="H1121" t="s">
        <v>574</v>
      </c>
      <c r="I1121" t="s">
        <v>30</v>
      </c>
      <c r="J1121" t="s">
        <v>48</v>
      </c>
      <c r="K1121" t="s">
        <v>448</v>
      </c>
      <c r="L1121" t="s">
        <v>2296</v>
      </c>
      <c r="M1121">
        <v>11000</v>
      </c>
      <c r="N1121">
        <v>558</v>
      </c>
      <c r="O1121">
        <v>5122440</v>
      </c>
      <c r="P1121">
        <v>8168</v>
      </c>
      <c r="Q1121" t="s">
        <v>385</v>
      </c>
      <c r="R1121">
        <v>6011.29</v>
      </c>
      <c r="T1121">
        <v>6011.29</v>
      </c>
    </row>
    <row r="1122" spans="1:26" x14ac:dyDescent="0.25">
      <c r="A1122">
        <f t="shared" ca="1" si="88"/>
        <v>0</v>
      </c>
      <c r="C1122">
        <f t="shared" ca="1" si="89"/>
        <v>0</v>
      </c>
      <c r="D1122" t="s">
        <v>88</v>
      </c>
      <c r="E1122" t="s">
        <v>245</v>
      </c>
      <c r="F1122">
        <v>990</v>
      </c>
      <c r="G1122" t="s">
        <v>771</v>
      </c>
      <c r="H1122" t="s">
        <v>1125</v>
      </c>
      <c r="I1122" t="s">
        <v>30</v>
      </c>
      <c r="J1122" t="s">
        <v>88</v>
      </c>
      <c r="K1122" t="s">
        <v>188</v>
      </c>
      <c r="L1122" t="s">
        <v>2297</v>
      </c>
      <c r="M1122">
        <v>47000</v>
      </c>
      <c r="N1122">
        <v>756</v>
      </c>
      <c r="P1122">
        <v>39</v>
      </c>
      <c r="Q1122" t="s">
        <v>779</v>
      </c>
      <c r="R1122">
        <v>440</v>
      </c>
      <c r="S1122">
        <v>440</v>
      </c>
      <c r="T1122">
        <v>0</v>
      </c>
      <c r="U1122" t="s">
        <v>34</v>
      </c>
    </row>
    <row r="1123" spans="1:26" x14ac:dyDescent="0.25">
      <c r="A1123">
        <f t="shared" ca="1" si="88"/>
        <v>0</v>
      </c>
      <c r="C1123">
        <f t="shared" ca="1" si="89"/>
        <v>0</v>
      </c>
      <c r="D1123" t="s">
        <v>88</v>
      </c>
      <c r="E1123" t="s">
        <v>245</v>
      </c>
      <c r="F1123">
        <v>1372</v>
      </c>
      <c r="G1123" t="s">
        <v>771</v>
      </c>
      <c r="H1123" t="s">
        <v>2298</v>
      </c>
      <c r="I1123" t="s">
        <v>30</v>
      </c>
      <c r="J1123" t="s">
        <v>88</v>
      </c>
      <c r="K1123" t="s">
        <v>188</v>
      </c>
      <c r="L1123" t="s">
        <v>2299</v>
      </c>
      <c r="O1123">
        <v>5049749</v>
      </c>
      <c r="P1123">
        <v>7302</v>
      </c>
      <c r="Q1123" t="s">
        <v>2300</v>
      </c>
      <c r="R1123">
        <v>11400</v>
      </c>
      <c r="S1123">
        <v>11400</v>
      </c>
      <c r="T1123">
        <v>0</v>
      </c>
      <c r="U1123" t="s">
        <v>34</v>
      </c>
    </row>
    <row r="1124" spans="1:26" x14ac:dyDescent="0.25">
      <c r="A1124">
        <f t="shared" ca="1" si="88"/>
        <v>0</v>
      </c>
      <c r="C1124">
        <f t="shared" ca="1" si="89"/>
        <v>0</v>
      </c>
      <c r="D1124" t="s">
        <v>48</v>
      </c>
      <c r="E1124" t="s">
        <v>445</v>
      </c>
      <c r="F1124">
        <v>1401</v>
      </c>
      <c r="G1124" t="s">
        <v>446</v>
      </c>
      <c r="H1124" t="s">
        <v>634</v>
      </c>
      <c r="I1124" t="s">
        <v>30</v>
      </c>
      <c r="J1124" t="s">
        <v>48</v>
      </c>
      <c r="K1124" t="s">
        <v>448</v>
      </c>
      <c r="L1124" t="s">
        <v>2301</v>
      </c>
      <c r="M1124">
        <v>10000</v>
      </c>
      <c r="N1124">
        <v>561</v>
      </c>
      <c r="O1124">
        <v>5122432</v>
      </c>
      <c r="P1124">
        <v>8168</v>
      </c>
      <c r="Q1124" t="s">
        <v>385</v>
      </c>
      <c r="R1124">
        <v>3213.35</v>
      </c>
      <c r="T1124">
        <v>3213.35</v>
      </c>
    </row>
    <row r="1125" spans="1:26" x14ac:dyDescent="0.25">
      <c r="A1125">
        <f t="shared" ca="1" si="88"/>
        <v>0</v>
      </c>
      <c r="C1125">
        <f t="shared" ca="1" si="89"/>
        <v>0</v>
      </c>
      <c r="D1125" t="s">
        <v>35</v>
      </c>
      <c r="E1125" t="s">
        <v>49</v>
      </c>
      <c r="F1125">
        <v>974</v>
      </c>
      <c r="G1125" t="s">
        <v>228</v>
      </c>
      <c r="H1125" t="s">
        <v>2302</v>
      </c>
      <c r="I1125" t="s">
        <v>30</v>
      </c>
      <c r="J1125" t="s">
        <v>35</v>
      </c>
      <c r="K1125" t="s">
        <v>52</v>
      </c>
      <c r="L1125" t="s">
        <v>948</v>
      </c>
      <c r="M1125">
        <v>8000</v>
      </c>
      <c r="N1125">
        <v>692</v>
      </c>
      <c r="O1125">
        <v>5014734</v>
      </c>
      <c r="P1125">
        <v>1868</v>
      </c>
      <c r="Q1125" t="s">
        <v>706</v>
      </c>
      <c r="R1125">
        <v>1382.7</v>
      </c>
      <c r="S1125">
        <v>1382.7</v>
      </c>
      <c r="T1125">
        <v>0</v>
      </c>
      <c r="U1125" t="s">
        <v>34</v>
      </c>
      <c r="V1125" s="1">
        <v>46043</v>
      </c>
      <c r="W1125" s="1">
        <v>46043</v>
      </c>
    </row>
    <row r="1126" spans="1:26" x14ac:dyDescent="0.25">
      <c r="A1126">
        <f t="shared" ca="1" si="88"/>
        <v>0</v>
      </c>
      <c r="C1126">
        <f t="shared" ca="1" si="89"/>
        <v>0</v>
      </c>
      <c r="D1126" t="s">
        <v>35</v>
      </c>
      <c r="E1126" t="s">
        <v>49</v>
      </c>
      <c r="F1126">
        <v>974</v>
      </c>
      <c r="G1126" t="s">
        <v>228</v>
      </c>
      <c r="H1126" t="s">
        <v>2303</v>
      </c>
      <c r="I1126" t="s">
        <v>30</v>
      </c>
      <c r="J1126" t="s">
        <v>35</v>
      </c>
      <c r="K1126" t="s">
        <v>52</v>
      </c>
      <c r="L1126" t="s">
        <v>948</v>
      </c>
      <c r="M1126">
        <v>8000</v>
      </c>
      <c r="N1126">
        <v>692</v>
      </c>
      <c r="O1126">
        <v>5014737</v>
      </c>
      <c r="P1126">
        <v>1868</v>
      </c>
      <c r="Q1126" t="s">
        <v>706</v>
      </c>
      <c r="R1126">
        <v>1091.2</v>
      </c>
      <c r="S1126">
        <v>1091.2</v>
      </c>
      <c r="T1126">
        <v>0</v>
      </c>
      <c r="U1126" t="s">
        <v>34</v>
      </c>
      <c r="V1126" s="1">
        <v>46042</v>
      </c>
      <c r="W1126" s="1">
        <v>46042</v>
      </c>
    </row>
    <row r="1127" spans="1:26" x14ac:dyDescent="0.25">
      <c r="A1127">
        <f t="shared" ca="1" si="88"/>
        <v>0</v>
      </c>
      <c r="C1127">
        <f t="shared" ca="1" si="89"/>
        <v>0</v>
      </c>
      <c r="D1127" t="s">
        <v>26</v>
      </c>
      <c r="E1127" t="s">
        <v>49</v>
      </c>
      <c r="F1127">
        <v>1805</v>
      </c>
      <c r="G1127" t="s">
        <v>726</v>
      </c>
      <c r="H1127" t="s">
        <v>989</v>
      </c>
      <c r="I1127" t="s">
        <v>30</v>
      </c>
      <c r="J1127" t="s">
        <v>26</v>
      </c>
      <c r="K1127" t="s">
        <v>52</v>
      </c>
      <c r="L1127" t="s">
        <v>2304</v>
      </c>
      <c r="M1127">
        <v>7000</v>
      </c>
      <c r="N1127">
        <v>709</v>
      </c>
      <c r="O1127">
        <v>5014756</v>
      </c>
      <c r="P1127">
        <v>19582</v>
      </c>
      <c r="Q1127" t="s">
        <v>866</v>
      </c>
      <c r="R1127">
        <v>7700</v>
      </c>
      <c r="S1127">
        <v>7700</v>
      </c>
      <c r="T1127">
        <v>0</v>
      </c>
      <c r="U1127" t="s">
        <v>34</v>
      </c>
      <c r="V1127" s="1">
        <v>46097</v>
      </c>
      <c r="W1127" s="1">
        <v>46099</v>
      </c>
      <c r="X1127" t="s">
        <v>56</v>
      </c>
      <c r="Y1127" t="s">
        <v>47</v>
      </c>
      <c r="Z1127" s="1">
        <v>46097</v>
      </c>
    </row>
    <row r="1128" spans="1:26" x14ac:dyDescent="0.25">
      <c r="A1128">
        <f t="shared" ca="1" si="88"/>
        <v>0</v>
      </c>
      <c r="C1128">
        <f t="shared" ca="1" si="89"/>
        <v>0</v>
      </c>
      <c r="D1128" t="s">
        <v>221</v>
      </c>
      <c r="E1128" t="s">
        <v>58</v>
      </c>
      <c r="F1128">
        <v>182</v>
      </c>
      <c r="G1128" t="s">
        <v>224</v>
      </c>
      <c r="H1128" t="s">
        <v>1224</v>
      </c>
      <c r="I1128" t="s">
        <v>187</v>
      </c>
      <c r="J1128" t="s">
        <v>221</v>
      </c>
      <c r="K1128" t="s">
        <v>61</v>
      </c>
      <c r="L1128" t="s">
        <v>2305</v>
      </c>
      <c r="M1128">
        <v>13000</v>
      </c>
      <c r="N1128">
        <v>175</v>
      </c>
      <c r="O1128">
        <v>5034695</v>
      </c>
      <c r="P1128">
        <v>7431</v>
      </c>
      <c r="Q1128" t="s">
        <v>121</v>
      </c>
      <c r="R1128">
        <v>3102</v>
      </c>
      <c r="S1128">
        <v>3102</v>
      </c>
      <c r="T1128">
        <v>0</v>
      </c>
      <c r="U1128" t="s">
        <v>34</v>
      </c>
      <c r="V1128" s="1">
        <v>46111</v>
      </c>
      <c r="W1128" s="1">
        <v>46116</v>
      </c>
    </row>
    <row r="1129" spans="1:26" x14ac:dyDescent="0.25">
      <c r="A1129">
        <f t="shared" ref="A1129:A1160" ca="1" si="90">+ Cmde</f>
        <v>0</v>
      </c>
      <c r="C1129">
        <f t="shared" ref="C1129:C1160" ca="1" si="91">+ Devis</f>
        <v>0</v>
      </c>
      <c r="D1129" t="s">
        <v>35</v>
      </c>
      <c r="E1129" t="s">
        <v>49</v>
      </c>
      <c r="F1129">
        <v>1618</v>
      </c>
      <c r="G1129" t="s">
        <v>50</v>
      </c>
      <c r="H1129" t="s">
        <v>2306</v>
      </c>
      <c r="I1129" t="s">
        <v>30</v>
      </c>
      <c r="J1129" t="s">
        <v>35</v>
      </c>
      <c r="K1129" t="s">
        <v>52</v>
      </c>
      <c r="L1129" t="s">
        <v>2307</v>
      </c>
      <c r="O1129">
        <v>5047668</v>
      </c>
      <c r="P1129">
        <v>8336</v>
      </c>
      <c r="Q1129" t="s">
        <v>751</v>
      </c>
      <c r="R1129">
        <v>206.4</v>
      </c>
      <c r="S1129">
        <v>206.4</v>
      </c>
      <c r="T1129">
        <v>0</v>
      </c>
      <c r="U1129" t="s">
        <v>34</v>
      </c>
      <c r="V1129" s="1">
        <v>46099</v>
      </c>
      <c r="W1129" s="1">
        <v>46099</v>
      </c>
      <c r="X1129" t="s">
        <v>2308</v>
      </c>
    </row>
    <row r="1130" spans="1:26" x14ac:dyDescent="0.25">
      <c r="A1130">
        <f t="shared" ca="1" si="90"/>
        <v>0</v>
      </c>
      <c r="C1130">
        <f t="shared" ca="1" si="91"/>
        <v>0</v>
      </c>
      <c r="D1130" t="s">
        <v>196</v>
      </c>
      <c r="E1130" t="s">
        <v>237</v>
      </c>
      <c r="F1130">
        <v>74</v>
      </c>
      <c r="G1130" t="s">
        <v>258</v>
      </c>
      <c r="H1130" t="s">
        <v>457</v>
      </c>
      <c r="I1130" t="s">
        <v>187</v>
      </c>
      <c r="J1130" t="s">
        <v>196</v>
      </c>
      <c r="K1130" t="s">
        <v>240</v>
      </c>
      <c r="L1130" t="s">
        <v>2309</v>
      </c>
      <c r="M1130">
        <v>10000</v>
      </c>
      <c r="N1130">
        <v>26</v>
      </c>
      <c r="O1130">
        <v>5082848</v>
      </c>
      <c r="P1130">
        <v>641</v>
      </c>
      <c r="Q1130" t="s">
        <v>1347</v>
      </c>
      <c r="R1130">
        <v>825</v>
      </c>
      <c r="T1130">
        <v>825</v>
      </c>
    </row>
    <row r="1131" spans="1:26" x14ac:dyDescent="0.25">
      <c r="A1131">
        <f t="shared" ca="1" si="90"/>
        <v>0</v>
      </c>
      <c r="C1131">
        <f t="shared" ca="1" si="91"/>
        <v>0</v>
      </c>
      <c r="D1131" t="s">
        <v>35</v>
      </c>
      <c r="E1131" t="s">
        <v>64</v>
      </c>
      <c r="F1131">
        <v>778</v>
      </c>
      <c r="G1131" t="s">
        <v>1217</v>
      </c>
      <c r="H1131" t="s">
        <v>1933</v>
      </c>
      <c r="I1131" t="s">
        <v>30</v>
      </c>
      <c r="J1131" t="s">
        <v>35</v>
      </c>
      <c r="K1131" t="s">
        <v>67</v>
      </c>
      <c r="L1131" t="s">
        <v>2310</v>
      </c>
      <c r="O1131">
        <v>5084742</v>
      </c>
      <c r="P1131">
        <v>2391</v>
      </c>
      <c r="Q1131" t="s">
        <v>314</v>
      </c>
      <c r="R1131">
        <v>1812.36</v>
      </c>
      <c r="S1131">
        <v>1812.36</v>
      </c>
      <c r="T1131">
        <v>0</v>
      </c>
      <c r="U1131" t="s">
        <v>34</v>
      </c>
    </row>
    <row r="1132" spans="1:26" x14ac:dyDescent="0.25">
      <c r="A1132">
        <f t="shared" ca="1" si="90"/>
        <v>0</v>
      </c>
      <c r="C1132">
        <f t="shared" ca="1" si="91"/>
        <v>0</v>
      </c>
      <c r="D1132" t="s">
        <v>26</v>
      </c>
      <c r="E1132" t="s">
        <v>58</v>
      </c>
      <c r="F1132">
        <v>1311</v>
      </c>
      <c r="G1132" t="s">
        <v>213</v>
      </c>
      <c r="H1132" t="s">
        <v>2027</v>
      </c>
      <c r="I1132" t="s">
        <v>30</v>
      </c>
      <c r="J1132" t="s">
        <v>26</v>
      </c>
      <c r="K1132" t="s">
        <v>215</v>
      </c>
      <c r="L1132" t="s">
        <v>2311</v>
      </c>
      <c r="M1132">
        <v>7000</v>
      </c>
      <c r="N1132">
        <v>270</v>
      </c>
      <c r="O1132">
        <v>5061333</v>
      </c>
      <c r="P1132">
        <v>153</v>
      </c>
      <c r="Q1132" t="s">
        <v>98</v>
      </c>
      <c r="R1132">
        <v>584.51</v>
      </c>
      <c r="S1132">
        <v>584.51</v>
      </c>
      <c r="T1132">
        <v>0</v>
      </c>
      <c r="U1132" t="s">
        <v>34</v>
      </c>
    </row>
    <row r="1133" spans="1:26" x14ac:dyDescent="0.25">
      <c r="A1133">
        <f t="shared" ca="1" si="90"/>
        <v>0</v>
      </c>
      <c r="C1133">
        <f t="shared" ca="1" si="91"/>
        <v>0</v>
      </c>
      <c r="D1133" t="s">
        <v>41</v>
      </c>
      <c r="E1133" t="s">
        <v>64</v>
      </c>
      <c r="F1133">
        <v>1302</v>
      </c>
      <c r="G1133" t="s">
        <v>755</v>
      </c>
      <c r="H1133" t="s">
        <v>2312</v>
      </c>
      <c r="I1133" t="s">
        <v>44</v>
      </c>
      <c r="J1133" t="s">
        <v>41</v>
      </c>
      <c r="K1133" t="s">
        <v>67</v>
      </c>
      <c r="L1133" t="s">
        <v>2313</v>
      </c>
      <c r="O1133">
        <v>5084767</v>
      </c>
      <c r="P1133">
        <v>4921</v>
      </c>
      <c r="Q1133" t="s">
        <v>94</v>
      </c>
      <c r="R1133">
        <v>6545.26</v>
      </c>
      <c r="S1133">
        <v>6545.26</v>
      </c>
      <c r="T1133">
        <v>0</v>
      </c>
      <c r="U1133" t="s">
        <v>34</v>
      </c>
      <c r="X1133" t="s">
        <v>2314</v>
      </c>
    </row>
    <row r="1134" spans="1:26" x14ac:dyDescent="0.25">
      <c r="A1134">
        <f t="shared" ca="1" si="90"/>
        <v>0</v>
      </c>
      <c r="C1134">
        <f t="shared" ca="1" si="91"/>
        <v>0</v>
      </c>
      <c r="D1134" t="s">
        <v>41</v>
      </c>
      <c r="E1134" t="s">
        <v>64</v>
      </c>
      <c r="F1134">
        <v>2028</v>
      </c>
      <c r="G1134" t="s">
        <v>319</v>
      </c>
      <c r="H1134" t="s">
        <v>1324</v>
      </c>
      <c r="I1134" t="s">
        <v>44</v>
      </c>
      <c r="J1134" t="s">
        <v>41</v>
      </c>
      <c r="K1134" t="s">
        <v>67</v>
      </c>
      <c r="L1134" t="s">
        <v>2315</v>
      </c>
      <c r="M1134">
        <v>10000</v>
      </c>
      <c r="N1134">
        <v>125</v>
      </c>
      <c r="O1134">
        <v>5084847</v>
      </c>
      <c r="P1134">
        <v>4921</v>
      </c>
      <c r="Q1134" t="s">
        <v>94</v>
      </c>
      <c r="R1134">
        <v>9526.4699999999993</v>
      </c>
      <c r="T1134">
        <v>9526.4699999999993</v>
      </c>
      <c r="U1134" t="s">
        <v>40</v>
      </c>
      <c r="V1134" s="1">
        <v>46266</v>
      </c>
      <c r="W1134" s="1">
        <v>46277</v>
      </c>
    </row>
    <row r="1135" spans="1:26" x14ac:dyDescent="0.25">
      <c r="A1135">
        <f t="shared" ca="1" si="90"/>
        <v>0</v>
      </c>
      <c r="C1135">
        <f t="shared" ca="1" si="91"/>
        <v>0</v>
      </c>
      <c r="D1135" t="s">
        <v>236</v>
      </c>
      <c r="E1135" t="s">
        <v>627</v>
      </c>
      <c r="F1135">
        <v>659</v>
      </c>
      <c r="G1135" t="s">
        <v>1120</v>
      </c>
      <c r="H1135" t="s">
        <v>2316</v>
      </c>
      <c r="I1135" t="s">
        <v>44</v>
      </c>
      <c r="J1135" t="s">
        <v>236</v>
      </c>
      <c r="K1135" t="s">
        <v>188</v>
      </c>
      <c r="L1135" t="s">
        <v>2317</v>
      </c>
      <c r="P1135">
        <v>931</v>
      </c>
      <c r="Q1135" t="s">
        <v>2318</v>
      </c>
      <c r="R1135">
        <v>851.72</v>
      </c>
      <c r="S1135">
        <v>851.72</v>
      </c>
      <c r="T1135">
        <v>0</v>
      </c>
      <c r="U1135" t="s">
        <v>34</v>
      </c>
    </row>
    <row r="1136" spans="1:26" x14ac:dyDescent="0.25">
      <c r="A1136">
        <f t="shared" ca="1" si="90"/>
        <v>0</v>
      </c>
      <c r="C1136">
        <f t="shared" ca="1" si="91"/>
        <v>0</v>
      </c>
      <c r="D1136" t="s">
        <v>26</v>
      </c>
      <c r="E1136" t="s">
        <v>27</v>
      </c>
      <c r="F1136">
        <v>812</v>
      </c>
      <c r="G1136" t="s">
        <v>70</v>
      </c>
      <c r="H1136" t="s">
        <v>2319</v>
      </c>
      <c r="I1136" t="s">
        <v>30</v>
      </c>
      <c r="J1136" t="s">
        <v>26</v>
      </c>
      <c r="K1136" t="s">
        <v>31</v>
      </c>
      <c r="L1136" t="s">
        <v>2320</v>
      </c>
      <c r="O1136">
        <v>5033692</v>
      </c>
      <c r="P1136">
        <v>81</v>
      </c>
      <c r="Q1136" t="s">
        <v>102</v>
      </c>
      <c r="R1136">
        <v>1799.96</v>
      </c>
      <c r="S1136">
        <v>1799.96</v>
      </c>
      <c r="T1136">
        <v>0</v>
      </c>
      <c r="U1136" t="s">
        <v>34</v>
      </c>
      <c r="V1136" s="1">
        <v>46143</v>
      </c>
      <c r="W1136" s="1">
        <v>46157</v>
      </c>
      <c r="Y1136" t="s">
        <v>676</v>
      </c>
      <c r="Z1136" s="1">
        <v>46084</v>
      </c>
    </row>
    <row r="1137" spans="1:26" x14ac:dyDescent="0.25">
      <c r="A1137">
        <f t="shared" ca="1" si="90"/>
        <v>0</v>
      </c>
      <c r="C1137">
        <f t="shared" ca="1" si="91"/>
        <v>0</v>
      </c>
      <c r="D1137" t="s">
        <v>88</v>
      </c>
      <c r="E1137" t="s">
        <v>27</v>
      </c>
      <c r="F1137">
        <v>432</v>
      </c>
      <c r="G1137" t="s">
        <v>70</v>
      </c>
      <c r="H1137" t="s">
        <v>1187</v>
      </c>
      <c r="I1137" t="s">
        <v>30</v>
      </c>
      <c r="J1137" t="s">
        <v>88</v>
      </c>
      <c r="K1137" t="s">
        <v>31</v>
      </c>
      <c r="L1137" t="s">
        <v>1859</v>
      </c>
      <c r="M1137">
        <v>6000</v>
      </c>
      <c r="N1137">
        <v>397</v>
      </c>
      <c r="O1137">
        <v>5033735</v>
      </c>
      <c r="P1137">
        <v>14203</v>
      </c>
      <c r="Q1137" t="s">
        <v>1189</v>
      </c>
      <c r="R1137">
        <v>3106.62</v>
      </c>
      <c r="T1137">
        <v>3106.62</v>
      </c>
      <c r="U1137" t="s">
        <v>40</v>
      </c>
      <c r="V1137" s="1">
        <v>46174</v>
      </c>
      <c r="W1137" s="1">
        <v>46188</v>
      </c>
      <c r="Y1137" t="s">
        <v>104</v>
      </c>
      <c r="Z1137" s="1">
        <v>46111</v>
      </c>
    </row>
    <row r="1138" spans="1:26" x14ac:dyDescent="0.25">
      <c r="A1138">
        <f t="shared" ca="1" si="90"/>
        <v>0</v>
      </c>
      <c r="C1138">
        <f t="shared" ca="1" si="91"/>
        <v>0</v>
      </c>
      <c r="D1138" t="s">
        <v>79</v>
      </c>
      <c r="E1138" t="s">
        <v>27</v>
      </c>
      <c r="F1138">
        <v>1246</v>
      </c>
      <c r="G1138" t="s">
        <v>80</v>
      </c>
      <c r="H1138" t="s">
        <v>81</v>
      </c>
      <c r="I1138" t="s">
        <v>30</v>
      </c>
      <c r="J1138" t="s">
        <v>79</v>
      </c>
      <c r="K1138" t="s">
        <v>31</v>
      </c>
      <c r="L1138" t="s">
        <v>82</v>
      </c>
      <c r="M1138">
        <v>8000</v>
      </c>
      <c r="N1138">
        <v>395</v>
      </c>
      <c r="O1138">
        <v>5038776</v>
      </c>
      <c r="P1138">
        <v>6787</v>
      </c>
      <c r="Q1138" t="s">
        <v>33</v>
      </c>
      <c r="R1138">
        <v>4242.55</v>
      </c>
      <c r="S1138">
        <v>4242.55</v>
      </c>
      <c r="T1138">
        <v>0</v>
      </c>
      <c r="U1138" t="s">
        <v>34</v>
      </c>
      <c r="V1138" s="1">
        <v>46096</v>
      </c>
      <c r="W1138" s="1">
        <v>46111</v>
      </c>
    </row>
    <row r="1139" spans="1:26" x14ac:dyDescent="0.25">
      <c r="A1139">
        <f t="shared" ca="1" si="90"/>
        <v>0</v>
      </c>
      <c r="C1139">
        <f t="shared" ca="1" si="91"/>
        <v>0</v>
      </c>
      <c r="D1139" t="s">
        <v>41</v>
      </c>
      <c r="E1139" t="s">
        <v>27</v>
      </c>
      <c r="F1139">
        <v>397</v>
      </c>
      <c r="G1139" t="s">
        <v>28</v>
      </c>
      <c r="H1139" t="s">
        <v>2321</v>
      </c>
      <c r="I1139" t="s">
        <v>44</v>
      </c>
      <c r="J1139" t="s">
        <v>41</v>
      </c>
      <c r="K1139" t="s">
        <v>31</v>
      </c>
      <c r="L1139" t="s">
        <v>2322</v>
      </c>
      <c r="O1139">
        <v>5046915</v>
      </c>
      <c r="P1139">
        <v>14203</v>
      </c>
      <c r="Q1139" t="s">
        <v>1189</v>
      </c>
      <c r="R1139">
        <v>3551.9</v>
      </c>
      <c r="T1139">
        <v>3551.9</v>
      </c>
    </row>
    <row r="1140" spans="1:26" x14ac:dyDescent="0.25">
      <c r="A1140">
        <f t="shared" ca="1" si="90"/>
        <v>0</v>
      </c>
      <c r="C1140">
        <f t="shared" ca="1" si="91"/>
        <v>0</v>
      </c>
      <c r="D1140" t="s">
        <v>57</v>
      </c>
      <c r="E1140" t="s">
        <v>250</v>
      </c>
      <c r="F1140">
        <v>1872</v>
      </c>
      <c r="G1140" t="s">
        <v>996</v>
      </c>
      <c r="H1140" t="s">
        <v>997</v>
      </c>
      <c r="I1140" t="s">
        <v>44</v>
      </c>
      <c r="J1140" t="s">
        <v>57</v>
      </c>
      <c r="K1140" t="s">
        <v>253</v>
      </c>
      <c r="L1140" t="s">
        <v>2323</v>
      </c>
      <c r="M1140">
        <v>16000</v>
      </c>
      <c r="N1140">
        <v>715</v>
      </c>
      <c r="O1140">
        <v>5057288</v>
      </c>
      <c r="P1140">
        <v>4856</v>
      </c>
      <c r="Q1140" t="s">
        <v>1092</v>
      </c>
      <c r="R1140">
        <v>1705</v>
      </c>
      <c r="T1140">
        <v>1705</v>
      </c>
    </row>
    <row r="1141" spans="1:26" x14ac:dyDescent="0.25">
      <c r="A1141">
        <f t="shared" ca="1" si="90"/>
        <v>0</v>
      </c>
      <c r="C1141">
        <f t="shared" ca="1" si="91"/>
        <v>0</v>
      </c>
      <c r="D1141" t="s">
        <v>26</v>
      </c>
      <c r="E1141" t="s">
        <v>49</v>
      </c>
      <c r="F1141">
        <v>1687</v>
      </c>
      <c r="G1141" t="s">
        <v>50</v>
      </c>
      <c r="H1141" t="s">
        <v>2324</v>
      </c>
      <c r="I1141" t="s">
        <v>30</v>
      </c>
      <c r="J1141" t="s">
        <v>26</v>
      </c>
      <c r="K1141" t="s">
        <v>326</v>
      </c>
      <c r="L1141" t="s">
        <v>2325</v>
      </c>
      <c r="O1141">
        <v>5076230</v>
      </c>
      <c r="P1141">
        <v>81</v>
      </c>
      <c r="Q1141" t="s">
        <v>102</v>
      </c>
      <c r="R1141">
        <v>2466.8000000000002</v>
      </c>
      <c r="S1141">
        <v>2466.8000000000002</v>
      </c>
      <c r="T1141">
        <v>0</v>
      </c>
      <c r="U1141" t="s">
        <v>34</v>
      </c>
      <c r="V1141" s="1">
        <v>46223</v>
      </c>
      <c r="W1141" s="1">
        <v>46290</v>
      </c>
    </row>
    <row r="1142" spans="1:26" x14ac:dyDescent="0.25">
      <c r="A1142">
        <f t="shared" ca="1" si="90"/>
        <v>0</v>
      </c>
      <c r="C1142">
        <f t="shared" ca="1" si="91"/>
        <v>0</v>
      </c>
      <c r="D1142" t="s">
        <v>26</v>
      </c>
      <c r="E1142" t="s">
        <v>445</v>
      </c>
      <c r="F1142">
        <v>2427</v>
      </c>
      <c r="G1142" t="s">
        <v>525</v>
      </c>
      <c r="H1142" t="s">
        <v>2326</v>
      </c>
      <c r="I1142" t="s">
        <v>30</v>
      </c>
      <c r="J1142" t="s">
        <v>26</v>
      </c>
      <c r="K1142" t="s">
        <v>448</v>
      </c>
      <c r="L1142" t="s">
        <v>2327</v>
      </c>
      <c r="O1142">
        <v>5079680</v>
      </c>
      <c r="P1142">
        <v>7213</v>
      </c>
      <c r="Q1142" t="s">
        <v>626</v>
      </c>
      <c r="R1142">
        <v>9793.2999999999993</v>
      </c>
      <c r="T1142">
        <v>9793.2999999999993</v>
      </c>
    </row>
    <row r="1143" spans="1:26" x14ac:dyDescent="0.25">
      <c r="A1143">
        <f t="shared" ca="1" si="90"/>
        <v>0</v>
      </c>
      <c r="C1143">
        <f t="shared" ca="1" si="91"/>
        <v>0</v>
      </c>
      <c r="D1143" t="s">
        <v>285</v>
      </c>
      <c r="E1143" t="s">
        <v>445</v>
      </c>
      <c r="F1143">
        <v>1402</v>
      </c>
      <c r="G1143" t="s">
        <v>446</v>
      </c>
      <c r="H1143" t="s">
        <v>2328</v>
      </c>
      <c r="I1143" t="s">
        <v>187</v>
      </c>
      <c r="J1143" t="s">
        <v>285</v>
      </c>
      <c r="K1143" t="s">
        <v>448</v>
      </c>
      <c r="L1143" t="s">
        <v>2329</v>
      </c>
      <c r="M1143">
        <v>5000</v>
      </c>
      <c r="N1143">
        <v>534</v>
      </c>
      <c r="O1143">
        <v>5100781</v>
      </c>
      <c r="P1143">
        <v>5700</v>
      </c>
      <c r="Q1143" t="s">
        <v>493</v>
      </c>
      <c r="R1143">
        <v>1552.1</v>
      </c>
      <c r="T1143">
        <v>1552.1</v>
      </c>
    </row>
    <row r="1144" spans="1:26" x14ac:dyDescent="0.25">
      <c r="A1144">
        <f t="shared" ca="1" si="90"/>
        <v>0</v>
      </c>
      <c r="C1144">
        <f t="shared" ca="1" si="91"/>
        <v>0</v>
      </c>
      <c r="D1144" t="s">
        <v>88</v>
      </c>
      <c r="E1144" t="s">
        <v>184</v>
      </c>
      <c r="F1144">
        <v>1136</v>
      </c>
      <c r="G1144" t="s">
        <v>185</v>
      </c>
      <c r="H1144" t="s">
        <v>2330</v>
      </c>
      <c r="I1144" t="s">
        <v>30</v>
      </c>
      <c r="J1144" t="s">
        <v>88</v>
      </c>
      <c r="K1144" t="s">
        <v>188</v>
      </c>
      <c r="L1144" t="s">
        <v>2331</v>
      </c>
      <c r="P1144">
        <v>932</v>
      </c>
      <c r="Q1144" t="s">
        <v>1028</v>
      </c>
      <c r="R1144">
        <v>2932.4</v>
      </c>
      <c r="S1144">
        <v>2932.4</v>
      </c>
      <c r="T1144">
        <v>0</v>
      </c>
      <c r="U1144" t="s">
        <v>34</v>
      </c>
    </row>
    <row r="1145" spans="1:26" x14ac:dyDescent="0.25">
      <c r="A1145">
        <f t="shared" ca="1" si="90"/>
        <v>0</v>
      </c>
      <c r="C1145">
        <f t="shared" ca="1" si="91"/>
        <v>0</v>
      </c>
      <c r="D1145" t="s">
        <v>41</v>
      </c>
      <c r="E1145" t="s">
        <v>64</v>
      </c>
      <c r="F1145">
        <v>1373</v>
      </c>
      <c r="G1145" t="s">
        <v>1217</v>
      </c>
      <c r="H1145" t="s">
        <v>2332</v>
      </c>
      <c r="I1145" t="s">
        <v>44</v>
      </c>
      <c r="J1145" t="s">
        <v>41</v>
      </c>
      <c r="K1145" t="s">
        <v>67</v>
      </c>
      <c r="L1145" t="s">
        <v>2333</v>
      </c>
      <c r="R1145">
        <v>6352.17</v>
      </c>
      <c r="T1145">
        <v>6352.17</v>
      </c>
    </row>
    <row r="1146" spans="1:26" x14ac:dyDescent="0.25">
      <c r="A1146">
        <f t="shared" ca="1" si="90"/>
        <v>0</v>
      </c>
      <c r="C1146">
        <f t="shared" ca="1" si="91"/>
        <v>0</v>
      </c>
      <c r="D1146" t="s">
        <v>35</v>
      </c>
      <c r="E1146" t="s">
        <v>49</v>
      </c>
      <c r="F1146">
        <v>1579</v>
      </c>
      <c r="G1146" t="s">
        <v>231</v>
      </c>
      <c r="H1146" t="s">
        <v>817</v>
      </c>
      <c r="I1146" t="s">
        <v>30</v>
      </c>
      <c r="J1146" t="s">
        <v>35</v>
      </c>
      <c r="K1146" t="s">
        <v>326</v>
      </c>
      <c r="L1146" t="s">
        <v>818</v>
      </c>
      <c r="M1146">
        <v>4500</v>
      </c>
      <c r="N1146">
        <v>637</v>
      </c>
      <c r="O1146">
        <v>5014021</v>
      </c>
      <c r="P1146">
        <v>1868</v>
      </c>
      <c r="Q1146" t="s">
        <v>706</v>
      </c>
      <c r="R1146">
        <v>1562</v>
      </c>
      <c r="S1146">
        <v>1562</v>
      </c>
      <c r="T1146">
        <v>0</v>
      </c>
      <c r="U1146" t="s">
        <v>34</v>
      </c>
      <c r="V1146" s="1">
        <v>46041</v>
      </c>
      <c r="W1146" s="1">
        <v>46073</v>
      </c>
    </row>
    <row r="1147" spans="1:26" x14ac:dyDescent="0.25">
      <c r="A1147">
        <f t="shared" ca="1" si="90"/>
        <v>0</v>
      </c>
      <c r="C1147">
        <f t="shared" ca="1" si="91"/>
        <v>0</v>
      </c>
      <c r="D1147" t="s">
        <v>203</v>
      </c>
      <c r="E1147" t="s">
        <v>58</v>
      </c>
      <c r="F1147">
        <v>66</v>
      </c>
      <c r="G1147" t="s">
        <v>464</v>
      </c>
      <c r="H1147" t="s">
        <v>1230</v>
      </c>
      <c r="I1147" t="s">
        <v>44</v>
      </c>
      <c r="J1147" t="s">
        <v>203</v>
      </c>
      <c r="K1147" t="s">
        <v>61</v>
      </c>
      <c r="L1147" t="s">
        <v>2334</v>
      </c>
      <c r="M1147">
        <v>67000</v>
      </c>
      <c r="N1147">
        <v>193</v>
      </c>
      <c r="O1147">
        <v>5015715</v>
      </c>
      <c r="P1147">
        <v>7431</v>
      </c>
      <c r="Q1147" t="s">
        <v>121</v>
      </c>
      <c r="R1147">
        <v>7040</v>
      </c>
      <c r="S1147">
        <v>7040</v>
      </c>
      <c r="T1147">
        <v>0</v>
      </c>
      <c r="U1147" t="s">
        <v>107</v>
      </c>
    </row>
    <row r="1148" spans="1:26" x14ac:dyDescent="0.25">
      <c r="A1148">
        <f t="shared" ca="1" si="90"/>
        <v>0</v>
      </c>
      <c r="C1148">
        <f t="shared" ca="1" si="91"/>
        <v>0</v>
      </c>
      <c r="D1148" t="s">
        <v>2335</v>
      </c>
      <c r="E1148" t="s">
        <v>49</v>
      </c>
      <c r="F1148">
        <v>1563</v>
      </c>
      <c r="G1148" t="s">
        <v>228</v>
      </c>
      <c r="H1148" t="s">
        <v>2336</v>
      </c>
      <c r="I1148" t="s">
        <v>30</v>
      </c>
      <c r="J1148" t="s">
        <v>2335</v>
      </c>
      <c r="K1148" t="s">
        <v>52</v>
      </c>
      <c r="L1148" t="s">
        <v>2337</v>
      </c>
      <c r="O1148">
        <v>5024578</v>
      </c>
      <c r="P1148">
        <v>4921</v>
      </c>
      <c r="Q1148" t="s">
        <v>94</v>
      </c>
      <c r="R1148">
        <v>2960.4</v>
      </c>
      <c r="S1148">
        <v>2960.4</v>
      </c>
      <c r="T1148">
        <v>0</v>
      </c>
      <c r="U1148" t="s">
        <v>34</v>
      </c>
      <c r="V1148" s="1">
        <v>46076</v>
      </c>
      <c r="W1148" s="1">
        <v>46080</v>
      </c>
    </row>
    <row r="1149" spans="1:26" x14ac:dyDescent="0.25">
      <c r="A1149">
        <f t="shared" ca="1" si="90"/>
        <v>0</v>
      </c>
      <c r="C1149">
        <f t="shared" ca="1" si="91"/>
        <v>0</v>
      </c>
      <c r="D1149" t="s">
        <v>35</v>
      </c>
      <c r="E1149" t="s">
        <v>49</v>
      </c>
      <c r="F1149">
        <v>1790</v>
      </c>
      <c r="G1149" t="s">
        <v>231</v>
      </c>
      <c r="H1149" t="s">
        <v>2338</v>
      </c>
      <c r="I1149" t="s">
        <v>30</v>
      </c>
      <c r="J1149" t="s">
        <v>35</v>
      </c>
      <c r="K1149" t="s">
        <v>326</v>
      </c>
      <c r="L1149" t="s">
        <v>2339</v>
      </c>
      <c r="O1149">
        <v>5035397</v>
      </c>
      <c r="P1149">
        <v>6455</v>
      </c>
      <c r="Q1149" t="s">
        <v>39</v>
      </c>
      <c r="R1149">
        <v>3618.55</v>
      </c>
      <c r="S1149">
        <v>3618.55</v>
      </c>
      <c r="T1149">
        <v>0</v>
      </c>
      <c r="U1149" t="s">
        <v>34</v>
      </c>
      <c r="V1149" s="1">
        <v>46090</v>
      </c>
      <c r="W1149" s="1">
        <v>46108</v>
      </c>
    </row>
    <row r="1150" spans="1:26" x14ac:dyDescent="0.25">
      <c r="A1150">
        <f t="shared" ca="1" si="90"/>
        <v>0</v>
      </c>
      <c r="C1150">
        <f t="shared" ca="1" si="91"/>
        <v>0</v>
      </c>
      <c r="D1150" t="s">
        <v>285</v>
      </c>
      <c r="E1150" t="s">
        <v>900</v>
      </c>
      <c r="F1150">
        <v>1188</v>
      </c>
      <c r="G1150" t="s">
        <v>1282</v>
      </c>
      <c r="H1150" t="s">
        <v>2340</v>
      </c>
      <c r="I1150" t="s">
        <v>187</v>
      </c>
      <c r="J1150" t="s">
        <v>285</v>
      </c>
      <c r="K1150" t="s">
        <v>326</v>
      </c>
      <c r="L1150" t="s">
        <v>2341</v>
      </c>
      <c r="O1150">
        <v>5035412</v>
      </c>
      <c r="P1150">
        <v>17125</v>
      </c>
      <c r="Q1150" t="s">
        <v>721</v>
      </c>
      <c r="R1150">
        <v>1965.04</v>
      </c>
      <c r="S1150">
        <v>1965.04</v>
      </c>
      <c r="T1150">
        <v>0</v>
      </c>
      <c r="U1150" t="s">
        <v>34</v>
      </c>
      <c r="V1150" s="1">
        <v>46090</v>
      </c>
      <c r="W1150" s="1">
        <v>46108</v>
      </c>
    </row>
    <row r="1151" spans="1:26" x14ac:dyDescent="0.25">
      <c r="A1151">
        <f t="shared" ca="1" si="90"/>
        <v>0</v>
      </c>
      <c r="C1151">
        <f t="shared" ca="1" si="91"/>
        <v>0</v>
      </c>
      <c r="D1151" t="s">
        <v>35</v>
      </c>
      <c r="E1151" t="s">
        <v>27</v>
      </c>
      <c r="F1151">
        <v>284</v>
      </c>
      <c r="G1151" t="s">
        <v>28</v>
      </c>
      <c r="H1151" t="s">
        <v>2342</v>
      </c>
      <c r="I1151" t="s">
        <v>30</v>
      </c>
      <c r="J1151" t="s">
        <v>35</v>
      </c>
      <c r="K1151" t="s">
        <v>31</v>
      </c>
      <c r="L1151" t="s">
        <v>2343</v>
      </c>
      <c r="O1151">
        <v>5057464</v>
      </c>
      <c r="P1151">
        <v>6364</v>
      </c>
      <c r="Q1151" t="s">
        <v>331</v>
      </c>
      <c r="R1151">
        <v>2302.9899999999998</v>
      </c>
      <c r="S1151">
        <v>2302.9899999999998</v>
      </c>
      <c r="T1151">
        <v>0</v>
      </c>
      <c r="U1151" t="s">
        <v>34</v>
      </c>
      <c r="V1151" s="1">
        <v>46120</v>
      </c>
      <c r="W1151" s="1">
        <v>46487</v>
      </c>
    </row>
    <row r="1152" spans="1:26" x14ac:dyDescent="0.25">
      <c r="A1152">
        <f t="shared" ca="1" si="90"/>
        <v>0</v>
      </c>
      <c r="C1152">
        <f t="shared" ca="1" si="91"/>
        <v>0</v>
      </c>
      <c r="D1152" t="s">
        <v>41</v>
      </c>
      <c r="E1152" t="s">
        <v>58</v>
      </c>
      <c r="F1152">
        <v>49</v>
      </c>
      <c r="G1152" t="s">
        <v>897</v>
      </c>
      <c r="H1152" t="s">
        <v>1879</v>
      </c>
      <c r="I1152" t="s">
        <v>44</v>
      </c>
      <c r="J1152" t="s">
        <v>41</v>
      </c>
      <c r="K1152" t="s">
        <v>61</v>
      </c>
      <c r="L1152" t="s">
        <v>2344</v>
      </c>
      <c r="M1152">
        <v>10000</v>
      </c>
      <c r="N1152">
        <v>207</v>
      </c>
    </row>
    <row r="1153" spans="1:24" x14ac:dyDescent="0.25">
      <c r="A1153">
        <f t="shared" ca="1" si="90"/>
        <v>0</v>
      </c>
      <c r="C1153">
        <f t="shared" ca="1" si="91"/>
        <v>0</v>
      </c>
      <c r="D1153" t="s">
        <v>35</v>
      </c>
      <c r="E1153" t="s">
        <v>184</v>
      </c>
      <c r="F1153">
        <v>798</v>
      </c>
      <c r="G1153" t="s">
        <v>334</v>
      </c>
      <c r="H1153" t="s">
        <v>2345</v>
      </c>
      <c r="I1153" t="s">
        <v>30</v>
      </c>
      <c r="J1153" t="s">
        <v>35</v>
      </c>
      <c r="K1153" t="s">
        <v>188</v>
      </c>
      <c r="L1153" t="s">
        <v>2346</v>
      </c>
      <c r="O1153">
        <v>5080132</v>
      </c>
      <c r="P1153">
        <v>818</v>
      </c>
      <c r="Q1153" t="s">
        <v>1238</v>
      </c>
      <c r="R1153">
        <v>2032.8</v>
      </c>
      <c r="S1153">
        <v>2032.8</v>
      </c>
      <c r="T1153">
        <v>0</v>
      </c>
      <c r="U1153" t="s">
        <v>34</v>
      </c>
    </row>
    <row r="1154" spans="1:24" x14ac:dyDescent="0.25">
      <c r="A1154">
        <f t="shared" ca="1" si="90"/>
        <v>0</v>
      </c>
      <c r="C1154">
        <f t="shared" ca="1" si="91"/>
        <v>0</v>
      </c>
      <c r="D1154" t="s">
        <v>203</v>
      </c>
      <c r="E1154" t="s">
        <v>184</v>
      </c>
      <c r="F1154">
        <v>897</v>
      </c>
      <c r="G1154" t="s">
        <v>185</v>
      </c>
      <c r="H1154" t="s">
        <v>2347</v>
      </c>
      <c r="I1154" t="s">
        <v>44</v>
      </c>
      <c r="J1154" t="s">
        <v>203</v>
      </c>
      <c r="K1154" t="s">
        <v>188</v>
      </c>
      <c r="L1154" t="s">
        <v>2348</v>
      </c>
      <c r="M1154">
        <v>23000</v>
      </c>
      <c r="N1154">
        <v>448</v>
      </c>
      <c r="P1154">
        <v>5651</v>
      </c>
      <c r="Q1154" t="s">
        <v>2349</v>
      </c>
      <c r="R1154">
        <v>507.55</v>
      </c>
      <c r="S1154">
        <v>507.55</v>
      </c>
      <c r="T1154">
        <v>0</v>
      </c>
      <c r="U1154" t="s">
        <v>34</v>
      </c>
    </row>
    <row r="1155" spans="1:24" x14ac:dyDescent="0.25">
      <c r="A1155">
        <f t="shared" ca="1" si="90"/>
        <v>0</v>
      </c>
      <c r="C1155">
        <f t="shared" ca="1" si="91"/>
        <v>0</v>
      </c>
      <c r="D1155" t="s">
        <v>35</v>
      </c>
      <c r="E1155" t="s">
        <v>237</v>
      </c>
      <c r="F1155">
        <v>162</v>
      </c>
      <c r="G1155" t="s">
        <v>907</v>
      </c>
      <c r="H1155" t="s">
        <v>2350</v>
      </c>
      <c r="I1155" t="s">
        <v>30</v>
      </c>
      <c r="J1155" t="s">
        <v>35</v>
      </c>
      <c r="K1155" t="s">
        <v>240</v>
      </c>
      <c r="L1155" t="s">
        <v>2351</v>
      </c>
      <c r="O1155">
        <v>5126623</v>
      </c>
      <c r="P1155">
        <v>3864</v>
      </c>
      <c r="Q1155" t="s">
        <v>1310</v>
      </c>
      <c r="R1155">
        <v>1843.95</v>
      </c>
      <c r="T1155">
        <v>1843.95</v>
      </c>
    </row>
    <row r="1156" spans="1:24" x14ac:dyDescent="0.25">
      <c r="A1156">
        <f t="shared" ca="1" si="90"/>
        <v>0</v>
      </c>
      <c r="C1156">
        <f t="shared" ca="1" si="91"/>
        <v>0</v>
      </c>
      <c r="D1156" t="s">
        <v>285</v>
      </c>
      <c r="E1156" t="s">
        <v>237</v>
      </c>
      <c r="F1156">
        <v>40</v>
      </c>
      <c r="G1156" t="s">
        <v>471</v>
      </c>
      <c r="H1156" t="s">
        <v>2352</v>
      </c>
      <c r="I1156" t="s">
        <v>187</v>
      </c>
      <c r="J1156" t="s">
        <v>285</v>
      </c>
      <c r="K1156" t="s">
        <v>240</v>
      </c>
      <c r="L1156" t="s">
        <v>2353</v>
      </c>
      <c r="O1156">
        <v>5126694</v>
      </c>
      <c r="P1156">
        <v>6364</v>
      </c>
      <c r="Q1156" t="s">
        <v>331</v>
      </c>
      <c r="R1156">
        <v>1560.24</v>
      </c>
      <c r="T1156">
        <v>1560.24</v>
      </c>
    </row>
    <row r="1157" spans="1:24" x14ac:dyDescent="0.25">
      <c r="A1157">
        <f t="shared" ca="1" si="90"/>
        <v>0</v>
      </c>
      <c r="C1157">
        <f t="shared" ca="1" si="91"/>
        <v>0</v>
      </c>
      <c r="D1157" t="s">
        <v>35</v>
      </c>
      <c r="E1157" t="s">
        <v>237</v>
      </c>
      <c r="F1157">
        <v>69</v>
      </c>
      <c r="G1157" t="s">
        <v>580</v>
      </c>
      <c r="H1157" t="s">
        <v>2354</v>
      </c>
      <c r="I1157" t="s">
        <v>30</v>
      </c>
      <c r="J1157" t="s">
        <v>35</v>
      </c>
      <c r="K1157" t="s">
        <v>240</v>
      </c>
      <c r="L1157" t="s">
        <v>2355</v>
      </c>
      <c r="O1157">
        <v>5029929</v>
      </c>
      <c r="P1157">
        <v>4921</v>
      </c>
      <c r="Q1157" t="s">
        <v>94</v>
      </c>
      <c r="R1157">
        <v>7144.34</v>
      </c>
      <c r="S1157">
        <v>7144.34</v>
      </c>
      <c r="T1157">
        <v>0</v>
      </c>
      <c r="U1157" t="s">
        <v>34</v>
      </c>
    </row>
    <row r="1158" spans="1:24" x14ac:dyDescent="0.25">
      <c r="A1158">
        <f t="shared" ca="1" si="90"/>
        <v>0</v>
      </c>
      <c r="C1158">
        <f t="shared" ca="1" si="91"/>
        <v>0</v>
      </c>
      <c r="D1158" t="s">
        <v>183</v>
      </c>
      <c r="E1158" t="s">
        <v>58</v>
      </c>
      <c r="F1158">
        <v>46</v>
      </c>
      <c r="G1158" t="s">
        <v>747</v>
      </c>
      <c r="H1158" t="s">
        <v>2356</v>
      </c>
      <c r="I1158" t="s">
        <v>187</v>
      </c>
      <c r="J1158" t="s">
        <v>183</v>
      </c>
      <c r="K1158" t="s">
        <v>61</v>
      </c>
      <c r="L1158" t="s">
        <v>2357</v>
      </c>
      <c r="O1158">
        <v>5014752</v>
      </c>
      <c r="P1158">
        <v>179</v>
      </c>
      <c r="Q1158" t="s">
        <v>2358</v>
      </c>
      <c r="R1158">
        <v>5035.8</v>
      </c>
      <c r="S1158">
        <v>5035.8</v>
      </c>
      <c r="T1158">
        <v>0</v>
      </c>
      <c r="U1158" t="s">
        <v>34</v>
      </c>
      <c r="X1158" t="s">
        <v>2359</v>
      </c>
    </row>
    <row r="1159" spans="1:24" x14ac:dyDescent="0.25">
      <c r="A1159">
        <f t="shared" ca="1" si="90"/>
        <v>0</v>
      </c>
      <c r="C1159">
        <f t="shared" ca="1" si="91"/>
        <v>0</v>
      </c>
      <c r="D1159" t="s">
        <v>48</v>
      </c>
      <c r="E1159" t="s">
        <v>58</v>
      </c>
      <c r="F1159">
        <v>1061</v>
      </c>
      <c r="G1159" t="s">
        <v>213</v>
      </c>
      <c r="H1159" t="s">
        <v>2360</v>
      </c>
      <c r="I1159" t="s">
        <v>30</v>
      </c>
      <c r="J1159" t="s">
        <v>48</v>
      </c>
      <c r="K1159" t="s">
        <v>61</v>
      </c>
      <c r="L1159" t="s">
        <v>2361</v>
      </c>
      <c r="O1159">
        <v>5026172</v>
      </c>
      <c r="P1159">
        <v>81</v>
      </c>
      <c r="Q1159" t="s">
        <v>102</v>
      </c>
      <c r="R1159">
        <v>4649.6499999999996</v>
      </c>
      <c r="S1159">
        <v>4649.6499999999996</v>
      </c>
      <c r="T1159">
        <v>0</v>
      </c>
      <c r="U1159" t="s">
        <v>34</v>
      </c>
      <c r="X1159" t="s">
        <v>296</v>
      </c>
    </row>
    <row r="1160" spans="1:24" x14ac:dyDescent="0.25">
      <c r="A1160">
        <f t="shared" ca="1" si="90"/>
        <v>0</v>
      </c>
      <c r="C1160">
        <f t="shared" ca="1" si="91"/>
        <v>0</v>
      </c>
      <c r="D1160" t="s">
        <v>26</v>
      </c>
      <c r="E1160" t="s">
        <v>237</v>
      </c>
      <c r="F1160">
        <v>724</v>
      </c>
      <c r="G1160" t="s">
        <v>618</v>
      </c>
      <c r="H1160" t="s">
        <v>2362</v>
      </c>
      <c r="I1160" t="s">
        <v>30</v>
      </c>
      <c r="J1160" t="s">
        <v>26</v>
      </c>
      <c r="K1160" t="s">
        <v>240</v>
      </c>
      <c r="L1160" t="s">
        <v>2363</v>
      </c>
      <c r="O1160">
        <v>5029955</v>
      </c>
      <c r="P1160">
        <v>4551</v>
      </c>
      <c r="Q1160" t="s">
        <v>461</v>
      </c>
      <c r="R1160">
        <v>2484.5700000000002</v>
      </c>
      <c r="S1160">
        <v>2484.5700000000002</v>
      </c>
      <c r="T1160">
        <v>0</v>
      </c>
      <c r="U1160" t="s">
        <v>34</v>
      </c>
    </row>
    <row r="1161" spans="1:24" x14ac:dyDescent="0.25">
      <c r="A1161">
        <f t="shared" ref="A1161:A1192" ca="1" si="92">+ Cmde</f>
        <v>0</v>
      </c>
      <c r="C1161">
        <f t="shared" ref="C1161:C1192" ca="1" si="93">+ Devis</f>
        <v>0</v>
      </c>
      <c r="D1161" t="s">
        <v>35</v>
      </c>
      <c r="E1161" t="s">
        <v>58</v>
      </c>
      <c r="F1161">
        <v>573</v>
      </c>
      <c r="G1161" t="s">
        <v>464</v>
      </c>
      <c r="H1161" t="s">
        <v>2364</v>
      </c>
      <c r="I1161" t="s">
        <v>30</v>
      </c>
      <c r="J1161" t="s">
        <v>35</v>
      </c>
      <c r="K1161" t="s">
        <v>61</v>
      </c>
      <c r="L1161" t="s">
        <v>2365</v>
      </c>
      <c r="O1161">
        <v>5046635</v>
      </c>
      <c r="P1161">
        <v>911</v>
      </c>
      <c r="Q1161" t="s">
        <v>621</v>
      </c>
      <c r="R1161">
        <v>0</v>
      </c>
      <c r="T1161">
        <v>0</v>
      </c>
    </row>
    <row r="1162" spans="1:24" x14ac:dyDescent="0.25">
      <c r="A1162">
        <f t="shared" ca="1" si="92"/>
        <v>0</v>
      </c>
      <c r="C1162">
        <f t="shared" ca="1" si="93"/>
        <v>0</v>
      </c>
      <c r="D1162" t="s">
        <v>183</v>
      </c>
      <c r="E1162" t="s">
        <v>58</v>
      </c>
      <c r="F1162">
        <v>33</v>
      </c>
      <c r="G1162" t="s">
        <v>213</v>
      </c>
      <c r="H1162" t="s">
        <v>1821</v>
      </c>
      <c r="I1162" t="s">
        <v>187</v>
      </c>
      <c r="J1162" t="s">
        <v>183</v>
      </c>
      <c r="K1162" t="s">
        <v>61</v>
      </c>
      <c r="L1162" t="s">
        <v>2366</v>
      </c>
      <c r="M1162">
        <v>9000</v>
      </c>
      <c r="N1162">
        <v>172</v>
      </c>
      <c r="O1162">
        <v>5076750</v>
      </c>
      <c r="P1162">
        <v>8598</v>
      </c>
      <c r="Q1162" t="s">
        <v>78</v>
      </c>
      <c r="R1162">
        <v>1485</v>
      </c>
      <c r="T1162">
        <v>1485</v>
      </c>
      <c r="U1162" t="s">
        <v>40</v>
      </c>
      <c r="V1162" s="1">
        <v>46279</v>
      </c>
      <c r="W1162" s="1">
        <v>46288</v>
      </c>
    </row>
    <row r="1163" spans="1:24" x14ac:dyDescent="0.25">
      <c r="A1163">
        <f t="shared" ca="1" si="92"/>
        <v>0</v>
      </c>
      <c r="C1163">
        <f t="shared" ca="1" si="93"/>
        <v>0</v>
      </c>
      <c r="D1163" t="s">
        <v>57</v>
      </c>
      <c r="E1163" t="s">
        <v>627</v>
      </c>
      <c r="F1163">
        <v>762</v>
      </c>
      <c r="G1163" t="s">
        <v>628</v>
      </c>
      <c r="H1163" t="s">
        <v>2367</v>
      </c>
      <c r="I1163" t="s">
        <v>44</v>
      </c>
      <c r="J1163" t="s">
        <v>57</v>
      </c>
      <c r="K1163" t="s">
        <v>188</v>
      </c>
      <c r="L1163" t="s">
        <v>1119</v>
      </c>
      <c r="M1163">
        <v>25000</v>
      </c>
      <c r="N1163">
        <v>743</v>
      </c>
      <c r="O1163">
        <v>5091115</v>
      </c>
      <c r="P1163">
        <v>4787</v>
      </c>
      <c r="Q1163" t="s">
        <v>206</v>
      </c>
    </row>
    <row r="1164" spans="1:24" x14ac:dyDescent="0.25">
      <c r="A1164">
        <f t="shared" ca="1" si="92"/>
        <v>0</v>
      </c>
      <c r="C1164">
        <f t="shared" ca="1" si="93"/>
        <v>0</v>
      </c>
      <c r="D1164" t="s">
        <v>57</v>
      </c>
      <c r="E1164" t="s">
        <v>58</v>
      </c>
      <c r="F1164">
        <v>584</v>
      </c>
      <c r="G1164" t="s">
        <v>897</v>
      </c>
      <c r="H1164" t="s">
        <v>1697</v>
      </c>
      <c r="I1164" t="s">
        <v>44</v>
      </c>
      <c r="J1164" t="s">
        <v>57</v>
      </c>
      <c r="K1164" t="s">
        <v>61</v>
      </c>
      <c r="L1164" t="s">
        <v>2368</v>
      </c>
      <c r="M1164">
        <v>15000</v>
      </c>
      <c r="N1164">
        <v>204</v>
      </c>
      <c r="O1164">
        <v>5098516</v>
      </c>
      <c r="P1164">
        <v>27164</v>
      </c>
      <c r="Q1164" t="s">
        <v>1434</v>
      </c>
      <c r="R1164">
        <v>9983.6</v>
      </c>
      <c r="S1164">
        <v>4991.8</v>
      </c>
      <c r="T1164">
        <v>4991.8</v>
      </c>
      <c r="U1164" t="s">
        <v>40</v>
      </c>
      <c r="V1164" s="1">
        <v>46279</v>
      </c>
      <c r="W1164" s="1">
        <v>46290</v>
      </c>
      <c r="X1164" t="s">
        <v>593</v>
      </c>
    </row>
    <row r="1165" spans="1:24" x14ac:dyDescent="0.25">
      <c r="A1165">
        <f t="shared" ca="1" si="92"/>
        <v>0</v>
      </c>
      <c r="C1165">
        <f t="shared" ca="1" si="93"/>
        <v>0</v>
      </c>
      <c r="D1165" t="s">
        <v>221</v>
      </c>
      <c r="E1165" t="s">
        <v>58</v>
      </c>
      <c r="F1165">
        <v>70</v>
      </c>
      <c r="G1165" t="s">
        <v>747</v>
      </c>
      <c r="H1165" t="s">
        <v>2369</v>
      </c>
      <c r="I1165" t="s">
        <v>187</v>
      </c>
      <c r="J1165" t="s">
        <v>221</v>
      </c>
      <c r="K1165" t="s">
        <v>61</v>
      </c>
      <c r="L1165" t="s">
        <v>2370</v>
      </c>
      <c r="O1165">
        <v>5098554</v>
      </c>
      <c r="P1165">
        <v>1971</v>
      </c>
      <c r="Q1165" t="s">
        <v>429</v>
      </c>
    </row>
    <row r="1166" spans="1:24" x14ac:dyDescent="0.25">
      <c r="A1166">
        <f t="shared" ca="1" si="92"/>
        <v>0</v>
      </c>
      <c r="C1166">
        <f t="shared" ca="1" si="93"/>
        <v>0</v>
      </c>
      <c r="D1166" t="s">
        <v>35</v>
      </c>
      <c r="E1166" t="s">
        <v>445</v>
      </c>
      <c r="F1166">
        <v>1850</v>
      </c>
      <c r="G1166" t="s">
        <v>446</v>
      </c>
      <c r="H1166" t="s">
        <v>641</v>
      </c>
      <c r="I1166" t="s">
        <v>30</v>
      </c>
      <c r="J1166" t="s">
        <v>35</v>
      </c>
      <c r="K1166" t="s">
        <v>448</v>
      </c>
      <c r="L1166" t="s">
        <v>2371</v>
      </c>
      <c r="M1166">
        <v>5000</v>
      </c>
      <c r="N1166">
        <v>565</v>
      </c>
      <c r="O1166">
        <v>5050061</v>
      </c>
      <c r="P1166">
        <v>1</v>
      </c>
      <c r="Q1166" t="s">
        <v>636</v>
      </c>
      <c r="R1166">
        <v>1419</v>
      </c>
      <c r="S1166">
        <v>1419</v>
      </c>
      <c r="T1166">
        <v>0</v>
      </c>
      <c r="U1166" t="s">
        <v>34</v>
      </c>
    </row>
    <row r="1167" spans="1:24" x14ac:dyDescent="0.25">
      <c r="A1167">
        <f t="shared" ca="1" si="92"/>
        <v>0</v>
      </c>
      <c r="C1167">
        <f t="shared" ca="1" si="93"/>
        <v>0</v>
      </c>
      <c r="D1167" t="s">
        <v>355</v>
      </c>
      <c r="E1167" t="s">
        <v>49</v>
      </c>
      <c r="F1167">
        <v>1603</v>
      </c>
      <c r="G1167" t="s">
        <v>692</v>
      </c>
      <c r="H1167" t="s">
        <v>958</v>
      </c>
      <c r="I1167" t="s">
        <v>30</v>
      </c>
      <c r="J1167" t="s">
        <v>355</v>
      </c>
      <c r="K1167" t="s">
        <v>52</v>
      </c>
      <c r="L1167" t="s">
        <v>959</v>
      </c>
      <c r="M1167">
        <v>4000</v>
      </c>
      <c r="N1167">
        <v>696</v>
      </c>
      <c r="O1167">
        <v>5118020</v>
      </c>
      <c r="P1167">
        <v>6810</v>
      </c>
      <c r="Q1167" t="s">
        <v>765</v>
      </c>
      <c r="R1167">
        <v>986.7</v>
      </c>
      <c r="T1167">
        <v>986.7</v>
      </c>
    </row>
    <row r="1168" spans="1:24" x14ac:dyDescent="0.25">
      <c r="A1168">
        <f t="shared" ca="1" si="92"/>
        <v>0</v>
      </c>
      <c r="C1168">
        <f t="shared" ca="1" si="93"/>
        <v>0</v>
      </c>
      <c r="D1168" t="s">
        <v>57</v>
      </c>
      <c r="E1168" t="s">
        <v>49</v>
      </c>
      <c r="F1168">
        <v>500</v>
      </c>
      <c r="G1168" t="s">
        <v>228</v>
      </c>
      <c r="H1168" t="s">
        <v>2372</v>
      </c>
      <c r="I1168" t="s">
        <v>44</v>
      </c>
      <c r="J1168" t="s">
        <v>57</v>
      </c>
      <c r="K1168" t="s">
        <v>52</v>
      </c>
      <c r="L1168" t="s">
        <v>918</v>
      </c>
      <c r="M1168">
        <v>3000</v>
      </c>
      <c r="N1168">
        <v>669</v>
      </c>
      <c r="O1168">
        <v>5118048</v>
      </c>
      <c r="P1168">
        <v>3587</v>
      </c>
      <c r="Q1168" t="s">
        <v>746</v>
      </c>
      <c r="R1168">
        <v>720</v>
      </c>
      <c r="T1168">
        <v>720</v>
      </c>
    </row>
    <row r="1169" spans="1:24" x14ac:dyDescent="0.25">
      <c r="A1169">
        <f t="shared" ca="1" si="92"/>
        <v>0</v>
      </c>
      <c r="C1169">
        <f t="shared" ca="1" si="93"/>
        <v>0</v>
      </c>
      <c r="D1169" t="s">
        <v>221</v>
      </c>
      <c r="E1169" t="s">
        <v>58</v>
      </c>
      <c r="F1169">
        <v>301</v>
      </c>
      <c r="G1169" t="s">
        <v>1038</v>
      </c>
      <c r="H1169" t="s">
        <v>1826</v>
      </c>
      <c r="I1169" t="s">
        <v>187</v>
      </c>
      <c r="J1169" t="s">
        <v>221</v>
      </c>
      <c r="K1169" t="s">
        <v>61</v>
      </c>
      <c r="L1169" t="s">
        <v>2373</v>
      </c>
      <c r="M1169">
        <v>10000</v>
      </c>
      <c r="N1169">
        <v>176</v>
      </c>
      <c r="O1169">
        <v>5053579</v>
      </c>
      <c r="P1169">
        <v>1971</v>
      </c>
      <c r="Q1169" t="s">
        <v>429</v>
      </c>
      <c r="R1169">
        <v>858</v>
      </c>
      <c r="S1169">
        <v>858</v>
      </c>
      <c r="T1169">
        <v>0</v>
      </c>
      <c r="U1169" t="s">
        <v>34</v>
      </c>
      <c r="X1169" t="s">
        <v>2374</v>
      </c>
    </row>
    <row r="1170" spans="1:24" x14ac:dyDescent="0.25">
      <c r="A1170">
        <f t="shared" ca="1" si="92"/>
        <v>0</v>
      </c>
      <c r="C1170">
        <f t="shared" ca="1" si="93"/>
        <v>0</v>
      </c>
      <c r="D1170" t="s">
        <v>209</v>
      </c>
      <c r="E1170" t="s">
        <v>297</v>
      </c>
      <c r="F1170">
        <v>2001</v>
      </c>
      <c r="G1170" t="s">
        <v>372</v>
      </c>
      <c r="H1170" t="s">
        <v>375</v>
      </c>
      <c r="I1170" t="s">
        <v>44</v>
      </c>
      <c r="J1170" t="s">
        <v>209</v>
      </c>
      <c r="K1170" t="s">
        <v>300</v>
      </c>
      <c r="L1170" t="s">
        <v>2375</v>
      </c>
      <c r="M1170">
        <v>7000</v>
      </c>
      <c r="N1170">
        <v>487</v>
      </c>
      <c r="O1170">
        <v>5061077</v>
      </c>
      <c r="P1170">
        <v>28284</v>
      </c>
      <c r="Q1170" t="s">
        <v>362</v>
      </c>
      <c r="R1170">
        <v>3553</v>
      </c>
      <c r="S1170">
        <v>3553</v>
      </c>
      <c r="T1170">
        <v>0</v>
      </c>
      <c r="U1170" t="s">
        <v>34</v>
      </c>
      <c r="V1170" s="1">
        <v>46132</v>
      </c>
      <c r="W1170" s="1">
        <v>46135</v>
      </c>
    </row>
    <row r="1171" spans="1:24" x14ac:dyDescent="0.25">
      <c r="A1171">
        <f t="shared" ca="1" si="92"/>
        <v>0</v>
      </c>
      <c r="C1171">
        <f t="shared" ca="1" si="93"/>
        <v>0</v>
      </c>
      <c r="D1171" t="s">
        <v>236</v>
      </c>
      <c r="E1171" t="s">
        <v>58</v>
      </c>
      <c r="F1171">
        <v>1357</v>
      </c>
      <c r="G1171" t="s">
        <v>213</v>
      </c>
      <c r="H1171" t="s">
        <v>2376</v>
      </c>
      <c r="I1171" t="s">
        <v>44</v>
      </c>
      <c r="J1171" t="s">
        <v>236</v>
      </c>
      <c r="K1171" t="s">
        <v>215</v>
      </c>
      <c r="L1171" t="s">
        <v>2377</v>
      </c>
      <c r="O1171">
        <v>5109255</v>
      </c>
      <c r="P1171">
        <v>1049</v>
      </c>
      <c r="Q1171" t="s">
        <v>1712</v>
      </c>
      <c r="R1171">
        <v>1300.82</v>
      </c>
      <c r="S1171">
        <v>1300.82</v>
      </c>
      <c r="U1171" t="s">
        <v>34</v>
      </c>
    </row>
    <row r="1172" spans="1:24" x14ac:dyDescent="0.25">
      <c r="A1172">
        <f t="shared" ca="1" si="92"/>
        <v>0</v>
      </c>
      <c r="C1172">
        <f t="shared" ca="1" si="93"/>
        <v>0</v>
      </c>
      <c r="D1172" t="s">
        <v>236</v>
      </c>
      <c r="E1172" t="s">
        <v>237</v>
      </c>
      <c r="F1172">
        <v>69</v>
      </c>
      <c r="G1172" t="s">
        <v>238</v>
      </c>
      <c r="H1172" t="s">
        <v>2378</v>
      </c>
      <c r="I1172" t="s">
        <v>44</v>
      </c>
      <c r="J1172" t="s">
        <v>236</v>
      </c>
      <c r="K1172" t="s">
        <v>240</v>
      </c>
      <c r="L1172" t="s">
        <v>2379</v>
      </c>
      <c r="M1172">
        <v>7000</v>
      </c>
      <c r="N1172">
        <v>42</v>
      </c>
      <c r="O1172">
        <v>5037633</v>
      </c>
      <c r="P1172">
        <v>4551</v>
      </c>
      <c r="Q1172" t="s">
        <v>461</v>
      </c>
      <c r="R1172">
        <v>2170.3000000000002</v>
      </c>
      <c r="S1172">
        <v>2170.3000000000002</v>
      </c>
      <c r="T1172">
        <v>0</v>
      </c>
      <c r="U1172" t="s">
        <v>34</v>
      </c>
    </row>
    <row r="1173" spans="1:24" x14ac:dyDescent="0.25">
      <c r="A1173">
        <f t="shared" ca="1" si="92"/>
        <v>0</v>
      </c>
      <c r="C1173">
        <f t="shared" ca="1" si="93"/>
        <v>0</v>
      </c>
      <c r="D1173" t="s">
        <v>48</v>
      </c>
      <c r="E1173" t="s">
        <v>237</v>
      </c>
      <c r="F1173">
        <v>837</v>
      </c>
      <c r="G1173" t="s">
        <v>907</v>
      </c>
      <c r="H1173" t="s">
        <v>2380</v>
      </c>
      <c r="I1173" t="s">
        <v>30</v>
      </c>
      <c r="J1173" t="s">
        <v>48</v>
      </c>
      <c r="K1173" t="s">
        <v>240</v>
      </c>
      <c r="L1173" t="s">
        <v>2381</v>
      </c>
      <c r="O1173">
        <v>5037647</v>
      </c>
      <c r="P1173">
        <v>81</v>
      </c>
      <c r="Q1173" t="s">
        <v>102</v>
      </c>
      <c r="R1173">
        <v>3104.02</v>
      </c>
      <c r="T1173">
        <v>3104.02</v>
      </c>
    </row>
    <row r="1174" spans="1:24" x14ac:dyDescent="0.25">
      <c r="A1174">
        <f t="shared" ca="1" si="92"/>
        <v>0</v>
      </c>
      <c r="C1174">
        <f t="shared" ca="1" si="93"/>
        <v>0</v>
      </c>
      <c r="D1174" t="s">
        <v>183</v>
      </c>
      <c r="E1174" t="s">
        <v>237</v>
      </c>
      <c r="F1174">
        <v>438</v>
      </c>
      <c r="G1174" t="s">
        <v>238</v>
      </c>
      <c r="H1174" t="s">
        <v>2382</v>
      </c>
      <c r="I1174" t="s">
        <v>187</v>
      </c>
      <c r="J1174" t="s">
        <v>183</v>
      </c>
      <c r="K1174" t="s">
        <v>240</v>
      </c>
      <c r="L1174" t="s">
        <v>2383</v>
      </c>
      <c r="O1174">
        <v>5037672</v>
      </c>
      <c r="P1174">
        <v>2391</v>
      </c>
      <c r="Q1174" t="s">
        <v>314</v>
      </c>
      <c r="R1174">
        <v>6806.8</v>
      </c>
      <c r="S1174">
        <v>6806.8</v>
      </c>
      <c r="T1174">
        <v>0</v>
      </c>
      <c r="U1174" t="s">
        <v>34</v>
      </c>
    </row>
    <row r="1175" spans="1:24" x14ac:dyDescent="0.25">
      <c r="A1175">
        <f t="shared" ca="1" si="92"/>
        <v>0</v>
      </c>
      <c r="C1175">
        <f t="shared" ca="1" si="93"/>
        <v>0</v>
      </c>
      <c r="D1175" t="s">
        <v>196</v>
      </c>
      <c r="E1175" t="s">
        <v>237</v>
      </c>
      <c r="F1175">
        <v>75</v>
      </c>
      <c r="G1175" t="s">
        <v>258</v>
      </c>
      <c r="H1175" t="s">
        <v>1477</v>
      </c>
      <c r="I1175" t="s">
        <v>187</v>
      </c>
      <c r="J1175" t="s">
        <v>196</v>
      </c>
      <c r="K1175" t="s">
        <v>240</v>
      </c>
      <c r="L1175" t="s">
        <v>2384</v>
      </c>
      <c r="M1175">
        <v>4000</v>
      </c>
      <c r="N1175">
        <v>12</v>
      </c>
      <c r="O1175">
        <v>5040090</v>
      </c>
      <c r="P1175">
        <v>641</v>
      </c>
      <c r="Q1175" t="s">
        <v>1347</v>
      </c>
      <c r="R1175">
        <v>2695</v>
      </c>
      <c r="S1175">
        <v>2695</v>
      </c>
      <c r="T1175">
        <v>0</v>
      </c>
      <c r="U1175" t="s">
        <v>34</v>
      </c>
    </row>
    <row r="1176" spans="1:24" x14ac:dyDescent="0.25">
      <c r="A1176">
        <f t="shared" ca="1" si="92"/>
        <v>0</v>
      </c>
      <c r="C1176">
        <f t="shared" ca="1" si="93"/>
        <v>0</v>
      </c>
      <c r="D1176" t="s">
        <v>74</v>
      </c>
      <c r="E1176" t="s">
        <v>49</v>
      </c>
      <c r="F1176">
        <v>1627</v>
      </c>
      <c r="G1176" t="s">
        <v>670</v>
      </c>
      <c r="H1176" t="s">
        <v>2056</v>
      </c>
      <c r="I1176" t="s">
        <v>30</v>
      </c>
      <c r="J1176" t="s">
        <v>74</v>
      </c>
      <c r="K1176" t="s">
        <v>326</v>
      </c>
      <c r="L1176" t="s">
        <v>2385</v>
      </c>
      <c r="O1176">
        <v>5104730</v>
      </c>
      <c r="P1176">
        <v>4921</v>
      </c>
      <c r="Q1176" t="s">
        <v>94</v>
      </c>
      <c r="R1176">
        <v>5060.33</v>
      </c>
      <c r="T1176">
        <v>5060.33</v>
      </c>
      <c r="U1176" t="s">
        <v>40</v>
      </c>
      <c r="V1176" s="1">
        <v>46272</v>
      </c>
      <c r="W1176" s="1">
        <v>46353</v>
      </c>
    </row>
    <row r="1177" spans="1:24" x14ac:dyDescent="0.25">
      <c r="A1177">
        <f t="shared" ca="1" si="92"/>
        <v>0</v>
      </c>
      <c r="C1177">
        <f t="shared" ca="1" si="93"/>
        <v>0</v>
      </c>
      <c r="D1177" t="s">
        <v>35</v>
      </c>
      <c r="E1177" t="s">
        <v>297</v>
      </c>
      <c r="F1177">
        <v>1352</v>
      </c>
      <c r="G1177" t="s">
        <v>359</v>
      </c>
      <c r="H1177" t="s">
        <v>2386</v>
      </c>
      <c r="I1177" t="s">
        <v>30</v>
      </c>
      <c r="J1177" t="s">
        <v>35</v>
      </c>
      <c r="K1177" t="s">
        <v>300</v>
      </c>
      <c r="L1177" t="s">
        <v>2387</v>
      </c>
      <c r="O1177">
        <v>5077216</v>
      </c>
      <c r="P1177">
        <v>21743</v>
      </c>
      <c r="Q1177" t="s">
        <v>511</v>
      </c>
      <c r="R1177">
        <v>2785.48</v>
      </c>
      <c r="S1177">
        <v>2785.48</v>
      </c>
      <c r="T1177">
        <v>0</v>
      </c>
      <c r="U1177" t="s">
        <v>34</v>
      </c>
      <c r="V1177" s="1">
        <v>46181</v>
      </c>
      <c r="W1177" s="1">
        <v>46192</v>
      </c>
      <c r="X1177" t="s">
        <v>2388</v>
      </c>
    </row>
    <row r="1178" spans="1:24" x14ac:dyDescent="0.25">
      <c r="A1178">
        <f t="shared" ca="1" si="92"/>
        <v>0</v>
      </c>
      <c r="C1178">
        <f t="shared" ca="1" si="93"/>
        <v>0</v>
      </c>
      <c r="D1178" t="s">
        <v>285</v>
      </c>
      <c r="E1178" t="s">
        <v>49</v>
      </c>
      <c r="F1178">
        <v>1609</v>
      </c>
      <c r="G1178" t="s">
        <v>689</v>
      </c>
      <c r="H1178" t="s">
        <v>1085</v>
      </c>
      <c r="I1178" t="s">
        <v>187</v>
      </c>
      <c r="J1178" t="s">
        <v>285</v>
      </c>
      <c r="K1178" t="s">
        <v>52</v>
      </c>
      <c r="L1178" t="s">
        <v>2389</v>
      </c>
      <c r="O1178">
        <v>5087145</v>
      </c>
      <c r="P1178">
        <v>6810</v>
      </c>
      <c r="Q1178" t="s">
        <v>765</v>
      </c>
      <c r="R1178">
        <v>4735.5</v>
      </c>
      <c r="S1178">
        <v>4735.5</v>
      </c>
      <c r="T1178">
        <v>0</v>
      </c>
      <c r="U1178" t="s">
        <v>34</v>
      </c>
      <c r="V1178" s="1">
        <v>46191</v>
      </c>
      <c r="W1178" s="1">
        <v>46249</v>
      </c>
    </row>
    <row r="1179" spans="1:24" x14ac:dyDescent="0.25">
      <c r="A1179">
        <f t="shared" ca="1" si="92"/>
        <v>0</v>
      </c>
      <c r="C1179">
        <f t="shared" ca="1" si="93"/>
        <v>0</v>
      </c>
      <c r="D1179" t="s">
        <v>41</v>
      </c>
      <c r="E1179" t="s">
        <v>49</v>
      </c>
      <c r="F1179">
        <v>1639</v>
      </c>
      <c r="G1179" t="s">
        <v>263</v>
      </c>
      <c r="H1179" t="s">
        <v>2390</v>
      </c>
      <c r="I1179" t="s">
        <v>44</v>
      </c>
      <c r="J1179" t="s">
        <v>41</v>
      </c>
      <c r="K1179" t="s">
        <v>326</v>
      </c>
      <c r="L1179" t="s">
        <v>2391</v>
      </c>
      <c r="O1179">
        <v>5085533</v>
      </c>
      <c r="P1179">
        <v>5978</v>
      </c>
      <c r="Q1179" t="s">
        <v>54</v>
      </c>
      <c r="R1179">
        <v>2196.9499999999998</v>
      </c>
      <c r="S1179">
        <v>2196.9499999999998</v>
      </c>
      <c r="T1179">
        <v>0</v>
      </c>
      <c r="U1179" t="s">
        <v>34</v>
      </c>
      <c r="V1179" s="1">
        <v>46188</v>
      </c>
      <c r="W1179" s="1">
        <v>46234</v>
      </c>
    </row>
    <row r="1180" spans="1:24" x14ac:dyDescent="0.25">
      <c r="A1180">
        <f t="shared" ca="1" si="92"/>
        <v>0</v>
      </c>
      <c r="C1180">
        <f t="shared" ca="1" si="93"/>
        <v>0</v>
      </c>
      <c r="D1180" t="s">
        <v>26</v>
      </c>
      <c r="E1180" t="s">
        <v>58</v>
      </c>
      <c r="F1180">
        <v>9014</v>
      </c>
      <c r="G1180" t="s">
        <v>59</v>
      </c>
      <c r="H1180" t="s">
        <v>2392</v>
      </c>
      <c r="I1180" t="s">
        <v>30</v>
      </c>
      <c r="J1180" t="s">
        <v>26</v>
      </c>
      <c r="K1180" t="s">
        <v>61</v>
      </c>
      <c r="L1180" t="s">
        <v>2393</v>
      </c>
      <c r="O1180">
        <v>5032388</v>
      </c>
      <c r="P1180">
        <v>30069</v>
      </c>
      <c r="Q1180" t="s">
        <v>2394</v>
      </c>
      <c r="R1180">
        <v>1009.25</v>
      </c>
      <c r="S1180">
        <v>1009.25</v>
      </c>
      <c r="T1180">
        <v>0</v>
      </c>
      <c r="U1180" t="s">
        <v>34</v>
      </c>
    </row>
    <row r="1181" spans="1:24" x14ac:dyDescent="0.25">
      <c r="A1181">
        <f t="shared" ca="1" si="92"/>
        <v>0</v>
      </c>
      <c r="C1181">
        <f t="shared" ca="1" si="93"/>
        <v>0</v>
      </c>
      <c r="D1181" t="s">
        <v>41</v>
      </c>
      <c r="E1181" t="s">
        <v>58</v>
      </c>
      <c r="F1181">
        <v>806</v>
      </c>
      <c r="G1181" t="s">
        <v>293</v>
      </c>
      <c r="H1181" t="s">
        <v>2395</v>
      </c>
      <c r="I1181" t="s">
        <v>44</v>
      </c>
      <c r="J1181" t="s">
        <v>41</v>
      </c>
      <c r="K1181" t="s">
        <v>61</v>
      </c>
      <c r="L1181" t="s">
        <v>2396</v>
      </c>
      <c r="O1181">
        <v>5052309</v>
      </c>
      <c r="P1181">
        <v>4921</v>
      </c>
      <c r="Q1181" t="s">
        <v>94</v>
      </c>
      <c r="R1181">
        <v>2125.39</v>
      </c>
      <c r="S1181">
        <v>2125.39</v>
      </c>
      <c r="T1181">
        <v>0</v>
      </c>
      <c r="U1181" t="s">
        <v>34</v>
      </c>
      <c r="V1181" s="1">
        <v>46163</v>
      </c>
      <c r="W1181" s="1">
        <v>46164</v>
      </c>
      <c r="X1181" t="s">
        <v>593</v>
      </c>
    </row>
    <row r="1182" spans="1:24" x14ac:dyDescent="0.25">
      <c r="A1182">
        <f t="shared" ca="1" si="92"/>
        <v>0</v>
      </c>
      <c r="C1182">
        <f t="shared" ca="1" si="93"/>
        <v>0</v>
      </c>
      <c r="D1182" t="s">
        <v>95</v>
      </c>
      <c r="E1182" t="s">
        <v>58</v>
      </c>
      <c r="F1182">
        <v>235</v>
      </c>
      <c r="G1182" t="s">
        <v>747</v>
      </c>
      <c r="H1182" t="s">
        <v>1209</v>
      </c>
      <c r="I1182" t="s">
        <v>30</v>
      </c>
      <c r="J1182" t="s">
        <v>95</v>
      </c>
      <c r="K1182" t="s">
        <v>61</v>
      </c>
      <c r="L1182" t="s">
        <v>2397</v>
      </c>
      <c r="P1182">
        <v>27725</v>
      </c>
      <c r="Q1182" t="s">
        <v>1211</v>
      </c>
      <c r="R1182">
        <v>5180.46</v>
      </c>
      <c r="S1182">
        <v>5180.46</v>
      </c>
      <c r="T1182">
        <v>0</v>
      </c>
      <c r="U1182" t="s">
        <v>34</v>
      </c>
    </row>
    <row r="1183" spans="1:24" x14ac:dyDescent="0.25">
      <c r="A1183">
        <f t="shared" ca="1" si="92"/>
        <v>0</v>
      </c>
      <c r="C1183">
        <f t="shared" ca="1" si="93"/>
        <v>0</v>
      </c>
      <c r="D1183" t="s">
        <v>196</v>
      </c>
      <c r="E1183" t="s">
        <v>49</v>
      </c>
      <c r="F1183">
        <v>892</v>
      </c>
      <c r="G1183" t="s">
        <v>689</v>
      </c>
      <c r="H1183" t="s">
        <v>701</v>
      </c>
      <c r="I1183" t="s">
        <v>187</v>
      </c>
      <c r="J1183" t="s">
        <v>196</v>
      </c>
      <c r="K1183" t="s">
        <v>326</v>
      </c>
      <c r="L1183" t="s">
        <v>2398</v>
      </c>
      <c r="M1183">
        <v>22000</v>
      </c>
      <c r="N1183">
        <v>598</v>
      </c>
      <c r="O1183">
        <v>5073929</v>
      </c>
      <c r="P1183">
        <v>4921</v>
      </c>
      <c r="Q1183" t="s">
        <v>94</v>
      </c>
      <c r="R1183">
        <v>24699.33</v>
      </c>
      <c r="T1183">
        <v>24699.33</v>
      </c>
      <c r="U1183" t="s">
        <v>40</v>
      </c>
      <c r="V1183" s="1">
        <v>46181</v>
      </c>
      <c r="W1183" s="1">
        <v>46234</v>
      </c>
    </row>
    <row r="1184" spans="1:24" x14ac:dyDescent="0.25">
      <c r="A1184">
        <f t="shared" ca="1" si="92"/>
        <v>0</v>
      </c>
      <c r="C1184">
        <f t="shared" ca="1" si="93"/>
        <v>0</v>
      </c>
      <c r="D1184" t="s">
        <v>196</v>
      </c>
      <c r="E1184" t="s">
        <v>64</v>
      </c>
      <c r="F1184">
        <v>199</v>
      </c>
      <c r="G1184" t="s">
        <v>755</v>
      </c>
      <c r="H1184" t="s">
        <v>1692</v>
      </c>
      <c r="I1184" t="s">
        <v>187</v>
      </c>
      <c r="J1184" t="s">
        <v>196</v>
      </c>
      <c r="K1184" t="s">
        <v>67</v>
      </c>
      <c r="L1184" t="s">
        <v>1693</v>
      </c>
      <c r="M1184">
        <v>10000</v>
      </c>
      <c r="N1184">
        <v>106</v>
      </c>
      <c r="O1184">
        <v>5078408</v>
      </c>
      <c r="P1184">
        <v>2391</v>
      </c>
      <c r="Q1184" t="s">
        <v>314</v>
      </c>
      <c r="R1184">
        <v>2198.08</v>
      </c>
      <c r="S1184">
        <v>2198.08</v>
      </c>
      <c r="T1184">
        <v>0</v>
      </c>
      <c r="U1184" t="s">
        <v>34</v>
      </c>
      <c r="V1184" s="1">
        <v>46266</v>
      </c>
      <c r="W1184" s="1">
        <v>46280</v>
      </c>
    </row>
    <row r="1185" spans="1:24" x14ac:dyDescent="0.25">
      <c r="A1185">
        <f t="shared" ca="1" si="92"/>
        <v>0</v>
      </c>
      <c r="C1185">
        <f t="shared" ca="1" si="93"/>
        <v>0</v>
      </c>
      <c r="D1185" t="s">
        <v>196</v>
      </c>
      <c r="E1185" t="s">
        <v>27</v>
      </c>
      <c r="F1185">
        <v>45</v>
      </c>
      <c r="G1185" t="s">
        <v>36</v>
      </c>
      <c r="H1185" t="s">
        <v>1602</v>
      </c>
      <c r="I1185" t="s">
        <v>187</v>
      </c>
      <c r="J1185" t="s">
        <v>196</v>
      </c>
      <c r="K1185" t="s">
        <v>31</v>
      </c>
      <c r="L1185" t="s">
        <v>1603</v>
      </c>
      <c r="O1185">
        <v>5107780</v>
      </c>
      <c r="P1185">
        <v>1971</v>
      </c>
      <c r="Q1185" t="s">
        <v>429</v>
      </c>
      <c r="R1185">
        <v>2940</v>
      </c>
      <c r="S1185">
        <v>5880</v>
      </c>
      <c r="T1185">
        <v>-2940</v>
      </c>
      <c r="U1185" t="s">
        <v>34</v>
      </c>
      <c r="V1185" s="1">
        <v>46239</v>
      </c>
      <c r="W1185" s="1">
        <v>46240</v>
      </c>
    </row>
    <row r="1186" spans="1:24" x14ac:dyDescent="0.25">
      <c r="A1186">
        <f t="shared" ca="1" si="92"/>
        <v>0</v>
      </c>
      <c r="C1186">
        <f t="shared" ca="1" si="93"/>
        <v>0</v>
      </c>
      <c r="D1186" t="s">
        <v>26</v>
      </c>
      <c r="E1186" t="s">
        <v>27</v>
      </c>
      <c r="F1186">
        <v>204</v>
      </c>
      <c r="G1186" t="s">
        <v>36</v>
      </c>
      <c r="H1186" t="s">
        <v>2399</v>
      </c>
      <c r="I1186" t="s">
        <v>30</v>
      </c>
      <c r="J1186" t="s">
        <v>26</v>
      </c>
      <c r="K1186" t="s">
        <v>31</v>
      </c>
      <c r="L1186" t="s">
        <v>2400</v>
      </c>
      <c r="O1186">
        <v>5127460</v>
      </c>
      <c r="P1186">
        <v>81</v>
      </c>
      <c r="Q1186" t="s">
        <v>102</v>
      </c>
      <c r="U1186" t="s">
        <v>107</v>
      </c>
      <c r="V1186" s="1">
        <v>46295</v>
      </c>
      <c r="W1186" s="1">
        <v>46325</v>
      </c>
    </row>
    <row r="1187" spans="1:24" x14ac:dyDescent="0.25">
      <c r="A1187">
        <f t="shared" ca="1" si="92"/>
        <v>0</v>
      </c>
      <c r="C1187">
        <f t="shared" ca="1" si="93"/>
        <v>0</v>
      </c>
      <c r="D1187" t="s">
        <v>41</v>
      </c>
      <c r="E1187" t="s">
        <v>27</v>
      </c>
      <c r="F1187">
        <v>538</v>
      </c>
      <c r="G1187" t="s">
        <v>1078</v>
      </c>
      <c r="H1187" t="s">
        <v>2401</v>
      </c>
      <c r="I1187" t="s">
        <v>44</v>
      </c>
      <c r="J1187" t="s">
        <v>41</v>
      </c>
      <c r="K1187" t="s">
        <v>31</v>
      </c>
      <c r="L1187" t="s">
        <v>2402</v>
      </c>
      <c r="O1187">
        <v>5127486</v>
      </c>
      <c r="P1187">
        <v>14203</v>
      </c>
      <c r="Q1187" t="s">
        <v>1189</v>
      </c>
      <c r="U1187" t="s">
        <v>107</v>
      </c>
      <c r="V1187" s="1">
        <v>46295</v>
      </c>
      <c r="W1187" s="1">
        <v>46325</v>
      </c>
    </row>
    <row r="1188" spans="1:24" x14ac:dyDescent="0.25">
      <c r="A1188">
        <f t="shared" ca="1" si="92"/>
        <v>0</v>
      </c>
      <c r="C1188">
        <f t="shared" ca="1" si="93"/>
        <v>0</v>
      </c>
      <c r="D1188" t="s">
        <v>35</v>
      </c>
      <c r="E1188" t="s">
        <v>49</v>
      </c>
      <c r="F1188">
        <v>1573</v>
      </c>
      <c r="G1188" t="s">
        <v>228</v>
      </c>
      <c r="H1188" t="s">
        <v>2403</v>
      </c>
      <c r="I1188" t="s">
        <v>30</v>
      </c>
      <c r="J1188" t="s">
        <v>35</v>
      </c>
      <c r="K1188" t="s">
        <v>52</v>
      </c>
      <c r="L1188" t="s">
        <v>2404</v>
      </c>
      <c r="O1188">
        <v>5014186</v>
      </c>
      <c r="P1188">
        <v>6455</v>
      </c>
      <c r="Q1188" t="s">
        <v>39</v>
      </c>
      <c r="R1188">
        <v>2033.89</v>
      </c>
      <c r="S1188">
        <v>2033.89</v>
      </c>
      <c r="T1188">
        <v>0</v>
      </c>
      <c r="U1188" t="s">
        <v>34</v>
      </c>
      <c r="V1188" s="1">
        <v>46036</v>
      </c>
      <c r="W1188" s="1">
        <v>46036</v>
      </c>
      <c r="X1188" t="s">
        <v>853</v>
      </c>
    </row>
    <row r="1189" spans="1:24" x14ac:dyDescent="0.25">
      <c r="A1189">
        <f t="shared" ca="1" si="92"/>
        <v>0</v>
      </c>
      <c r="C1189">
        <f t="shared" ca="1" si="93"/>
        <v>0</v>
      </c>
      <c r="D1189" t="s">
        <v>35</v>
      </c>
      <c r="E1189" t="s">
        <v>64</v>
      </c>
      <c r="F1189">
        <v>103</v>
      </c>
      <c r="G1189" t="s">
        <v>588</v>
      </c>
      <c r="H1189" t="s">
        <v>589</v>
      </c>
      <c r="I1189" t="s">
        <v>30</v>
      </c>
      <c r="J1189" t="s">
        <v>35</v>
      </c>
      <c r="K1189" t="s">
        <v>67</v>
      </c>
      <c r="L1189" t="s">
        <v>590</v>
      </c>
      <c r="M1189">
        <v>8000</v>
      </c>
      <c r="N1189">
        <v>165</v>
      </c>
      <c r="O1189">
        <v>5034862</v>
      </c>
      <c r="P1189">
        <v>6455</v>
      </c>
      <c r="Q1189" t="s">
        <v>39</v>
      </c>
      <c r="R1189">
        <v>1376.76</v>
      </c>
      <c r="S1189">
        <v>1376.76</v>
      </c>
      <c r="T1189">
        <v>0</v>
      </c>
      <c r="U1189" t="s">
        <v>34</v>
      </c>
      <c r="V1189" s="1">
        <v>46069</v>
      </c>
      <c r="W1189" s="1">
        <v>46074</v>
      </c>
    </row>
    <row r="1190" spans="1:24" x14ac:dyDescent="0.25">
      <c r="A1190">
        <f t="shared" ca="1" si="92"/>
        <v>0</v>
      </c>
      <c r="C1190">
        <f t="shared" ca="1" si="93"/>
        <v>0</v>
      </c>
      <c r="D1190" t="s">
        <v>35</v>
      </c>
      <c r="E1190" t="s">
        <v>184</v>
      </c>
      <c r="F1190">
        <v>897</v>
      </c>
      <c r="G1190" t="s">
        <v>185</v>
      </c>
      <c r="H1190" t="s">
        <v>2405</v>
      </c>
      <c r="I1190" t="s">
        <v>30</v>
      </c>
      <c r="J1190" t="s">
        <v>35</v>
      </c>
      <c r="K1190" t="s">
        <v>188</v>
      </c>
      <c r="L1190" t="s">
        <v>2406</v>
      </c>
      <c r="O1190">
        <v>5037918</v>
      </c>
      <c r="P1190">
        <v>818</v>
      </c>
      <c r="Q1190" t="s">
        <v>1238</v>
      </c>
      <c r="R1190">
        <v>2743.4</v>
      </c>
      <c r="S1190">
        <v>2743.4</v>
      </c>
      <c r="T1190">
        <v>0</v>
      </c>
      <c r="U1190" t="s">
        <v>34</v>
      </c>
      <c r="X1190" t="s">
        <v>2407</v>
      </c>
    </row>
    <row r="1191" spans="1:24" x14ac:dyDescent="0.25">
      <c r="A1191">
        <f t="shared" ca="1" si="92"/>
        <v>0</v>
      </c>
      <c r="C1191">
        <f t="shared" ca="1" si="93"/>
        <v>0</v>
      </c>
      <c r="D1191" t="s">
        <v>285</v>
      </c>
      <c r="E1191" t="s">
        <v>627</v>
      </c>
      <c r="F1191">
        <v>1260</v>
      </c>
      <c r="G1191" t="s">
        <v>628</v>
      </c>
      <c r="H1191" t="s">
        <v>2408</v>
      </c>
      <c r="I1191" t="s">
        <v>187</v>
      </c>
      <c r="J1191" t="s">
        <v>285</v>
      </c>
      <c r="K1191" t="s">
        <v>188</v>
      </c>
      <c r="L1191" t="s">
        <v>2409</v>
      </c>
      <c r="O1191">
        <v>5037935</v>
      </c>
      <c r="P1191">
        <v>6364</v>
      </c>
      <c r="Q1191" t="s">
        <v>331</v>
      </c>
      <c r="R1191">
        <v>4007.22</v>
      </c>
      <c r="S1191">
        <v>4007.22</v>
      </c>
      <c r="T1191">
        <v>0</v>
      </c>
      <c r="U1191" t="s">
        <v>34</v>
      </c>
    </row>
    <row r="1192" spans="1:24" x14ac:dyDescent="0.25">
      <c r="A1192">
        <f t="shared" ca="1" si="92"/>
        <v>0</v>
      </c>
      <c r="C1192">
        <f t="shared" ca="1" si="93"/>
        <v>0</v>
      </c>
      <c r="D1192" t="s">
        <v>562</v>
      </c>
      <c r="E1192" t="s">
        <v>64</v>
      </c>
      <c r="F1192">
        <v>121</v>
      </c>
      <c r="G1192" t="s">
        <v>311</v>
      </c>
      <c r="H1192" t="s">
        <v>613</v>
      </c>
      <c r="I1192" t="s">
        <v>30</v>
      </c>
      <c r="J1192" t="s">
        <v>562</v>
      </c>
      <c r="K1192" t="s">
        <v>67</v>
      </c>
      <c r="L1192" t="s">
        <v>2410</v>
      </c>
      <c r="M1192">
        <v>35000</v>
      </c>
      <c r="N1192">
        <v>141</v>
      </c>
      <c r="O1192">
        <v>5051873</v>
      </c>
      <c r="P1192">
        <v>7111</v>
      </c>
      <c r="Q1192" t="s">
        <v>754</v>
      </c>
      <c r="R1192">
        <v>2228.4</v>
      </c>
      <c r="S1192">
        <v>2228.4</v>
      </c>
      <c r="T1192">
        <v>0</v>
      </c>
      <c r="U1192" t="s">
        <v>34</v>
      </c>
      <c r="V1192" s="1">
        <v>46105</v>
      </c>
      <c r="W1192" s="1">
        <v>46105</v>
      </c>
    </row>
    <row r="1193" spans="1:24" x14ac:dyDescent="0.25">
      <c r="A1193">
        <f t="shared" ref="A1193:A1224" ca="1" si="94">+ Cmde</f>
        <v>0</v>
      </c>
      <c r="C1193">
        <f t="shared" ref="C1193:C1224" ca="1" si="95">+ Devis</f>
        <v>0</v>
      </c>
      <c r="D1193" t="s">
        <v>95</v>
      </c>
      <c r="E1193" t="s">
        <v>64</v>
      </c>
      <c r="F1193">
        <v>141</v>
      </c>
      <c r="G1193" t="s">
        <v>605</v>
      </c>
      <c r="H1193" t="s">
        <v>1774</v>
      </c>
      <c r="I1193" t="s">
        <v>30</v>
      </c>
      <c r="J1193" t="s">
        <v>95</v>
      </c>
      <c r="K1193" t="s">
        <v>67</v>
      </c>
      <c r="L1193" t="s">
        <v>2411</v>
      </c>
      <c r="M1193">
        <v>28000</v>
      </c>
      <c r="N1193">
        <v>145</v>
      </c>
      <c r="O1193">
        <v>5051893</v>
      </c>
      <c r="P1193">
        <v>3718</v>
      </c>
      <c r="Q1193" t="s">
        <v>113</v>
      </c>
      <c r="R1193">
        <v>1595.7</v>
      </c>
      <c r="S1193">
        <v>1595.7</v>
      </c>
      <c r="T1193">
        <v>0</v>
      </c>
      <c r="U1193" t="s">
        <v>34</v>
      </c>
      <c r="V1193" s="1">
        <v>46128</v>
      </c>
      <c r="W1193" s="1">
        <v>46132</v>
      </c>
    </row>
    <row r="1194" spans="1:24" x14ac:dyDescent="0.25">
      <c r="A1194">
        <f t="shared" ca="1" si="94"/>
        <v>0</v>
      </c>
      <c r="C1194">
        <f t="shared" ca="1" si="95"/>
        <v>0</v>
      </c>
      <c r="D1194" t="s">
        <v>95</v>
      </c>
      <c r="E1194" t="s">
        <v>64</v>
      </c>
      <c r="F1194">
        <v>141</v>
      </c>
      <c r="G1194" t="s">
        <v>605</v>
      </c>
      <c r="H1194" t="s">
        <v>1774</v>
      </c>
      <c r="I1194" t="s">
        <v>30</v>
      </c>
      <c r="J1194" t="s">
        <v>95</v>
      </c>
      <c r="K1194" t="s">
        <v>67</v>
      </c>
      <c r="L1194" t="s">
        <v>2412</v>
      </c>
      <c r="M1194">
        <v>28000</v>
      </c>
      <c r="N1194">
        <v>145</v>
      </c>
      <c r="O1194">
        <v>5051900</v>
      </c>
      <c r="P1194">
        <v>3718</v>
      </c>
      <c r="Q1194" t="s">
        <v>113</v>
      </c>
      <c r="R1194">
        <v>1595.7</v>
      </c>
      <c r="S1194">
        <v>1595.7</v>
      </c>
      <c r="T1194">
        <v>0</v>
      </c>
      <c r="U1194" t="s">
        <v>34</v>
      </c>
      <c r="V1194" s="1">
        <v>46133</v>
      </c>
      <c r="W1194" s="1">
        <v>46142</v>
      </c>
    </row>
    <row r="1195" spans="1:24" x14ac:dyDescent="0.25">
      <c r="A1195">
        <f t="shared" ca="1" si="94"/>
        <v>0</v>
      </c>
      <c r="C1195">
        <f t="shared" ca="1" si="95"/>
        <v>0</v>
      </c>
      <c r="D1195" t="s">
        <v>355</v>
      </c>
      <c r="E1195" t="s">
        <v>64</v>
      </c>
      <c r="F1195">
        <v>103</v>
      </c>
      <c r="G1195" t="s">
        <v>588</v>
      </c>
      <c r="H1195" t="s">
        <v>1362</v>
      </c>
      <c r="I1195" t="s">
        <v>30</v>
      </c>
      <c r="J1195" t="s">
        <v>355</v>
      </c>
      <c r="K1195" t="s">
        <v>67</v>
      </c>
      <c r="L1195" t="s">
        <v>2413</v>
      </c>
      <c r="M1195">
        <v>10000</v>
      </c>
      <c r="N1195">
        <v>164</v>
      </c>
      <c r="O1195">
        <v>5053150</v>
      </c>
      <c r="P1195">
        <v>81</v>
      </c>
      <c r="Q1195" t="s">
        <v>102</v>
      </c>
      <c r="R1195">
        <v>4178.91</v>
      </c>
      <c r="S1195">
        <v>4178.91</v>
      </c>
      <c r="T1195">
        <v>0</v>
      </c>
      <c r="U1195" t="s">
        <v>34</v>
      </c>
      <c r="V1195" s="1">
        <v>46137</v>
      </c>
      <c r="W1195" s="1">
        <v>46144</v>
      </c>
    </row>
    <row r="1196" spans="1:24" x14ac:dyDescent="0.25">
      <c r="A1196">
        <f t="shared" ca="1" si="94"/>
        <v>0</v>
      </c>
      <c r="C1196">
        <f t="shared" ca="1" si="95"/>
        <v>0</v>
      </c>
      <c r="D1196" t="s">
        <v>236</v>
      </c>
      <c r="E1196" t="s">
        <v>237</v>
      </c>
      <c r="F1196">
        <v>69</v>
      </c>
      <c r="G1196" t="s">
        <v>238</v>
      </c>
      <c r="H1196" t="s">
        <v>2414</v>
      </c>
      <c r="I1196" t="s">
        <v>44</v>
      </c>
      <c r="J1196" t="s">
        <v>236</v>
      </c>
      <c r="K1196" t="s">
        <v>240</v>
      </c>
      <c r="L1196" t="s">
        <v>241</v>
      </c>
      <c r="M1196">
        <v>7000</v>
      </c>
      <c r="N1196">
        <v>42</v>
      </c>
      <c r="P1196">
        <v>2625</v>
      </c>
      <c r="Q1196" t="s">
        <v>242</v>
      </c>
      <c r="R1196">
        <v>110</v>
      </c>
      <c r="T1196">
        <v>110</v>
      </c>
    </row>
    <row r="1197" spans="1:24" x14ac:dyDescent="0.25">
      <c r="A1197">
        <f t="shared" ca="1" si="94"/>
        <v>0</v>
      </c>
      <c r="C1197">
        <f t="shared" ca="1" si="95"/>
        <v>0</v>
      </c>
      <c r="D1197" t="s">
        <v>236</v>
      </c>
      <c r="E1197" t="s">
        <v>237</v>
      </c>
      <c r="F1197">
        <v>69</v>
      </c>
      <c r="G1197" t="s">
        <v>238</v>
      </c>
      <c r="H1197" t="s">
        <v>2415</v>
      </c>
      <c r="I1197" t="s">
        <v>44</v>
      </c>
      <c r="J1197" t="s">
        <v>236</v>
      </c>
      <c r="K1197" t="s">
        <v>240</v>
      </c>
      <c r="L1197" t="s">
        <v>241</v>
      </c>
      <c r="M1197">
        <v>7000</v>
      </c>
      <c r="N1197">
        <v>42</v>
      </c>
      <c r="P1197">
        <v>2625</v>
      </c>
      <c r="Q1197" t="s">
        <v>242</v>
      </c>
      <c r="R1197">
        <v>110</v>
      </c>
      <c r="T1197">
        <v>110</v>
      </c>
    </row>
    <row r="1198" spans="1:24" x14ac:dyDescent="0.25">
      <c r="A1198">
        <f t="shared" ca="1" si="94"/>
        <v>0</v>
      </c>
      <c r="C1198">
        <f t="shared" ca="1" si="95"/>
        <v>0</v>
      </c>
      <c r="D1198" t="s">
        <v>236</v>
      </c>
      <c r="E1198" t="s">
        <v>237</v>
      </c>
      <c r="F1198">
        <v>69</v>
      </c>
      <c r="G1198" t="s">
        <v>238</v>
      </c>
      <c r="H1198" t="s">
        <v>2416</v>
      </c>
      <c r="I1198" t="s">
        <v>44</v>
      </c>
      <c r="J1198" t="s">
        <v>236</v>
      </c>
      <c r="K1198" t="s">
        <v>240</v>
      </c>
      <c r="L1198" t="s">
        <v>241</v>
      </c>
      <c r="M1198">
        <v>7000</v>
      </c>
      <c r="N1198">
        <v>42</v>
      </c>
      <c r="P1198">
        <v>2625</v>
      </c>
      <c r="Q1198" t="s">
        <v>242</v>
      </c>
      <c r="R1198">
        <v>113.3</v>
      </c>
      <c r="T1198">
        <v>113.3</v>
      </c>
    </row>
    <row r="1199" spans="1:24" x14ac:dyDescent="0.25">
      <c r="A1199">
        <f t="shared" ca="1" si="94"/>
        <v>0</v>
      </c>
      <c r="C1199">
        <f t="shared" ca="1" si="95"/>
        <v>0</v>
      </c>
      <c r="D1199" t="s">
        <v>236</v>
      </c>
      <c r="E1199" t="s">
        <v>237</v>
      </c>
      <c r="F1199">
        <v>69</v>
      </c>
      <c r="G1199" t="s">
        <v>238</v>
      </c>
      <c r="H1199" t="s">
        <v>2417</v>
      </c>
      <c r="I1199" t="s">
        <v>44</v>
      </c>
      <c r="J1199" t="s">
        <v>236</v>
      </c>
      <c r="K1199" t="s">
        <v>240</v>
      </c>
      <c r="L1199" t="s">
        <v>241</v>
      </c>
      <c r="M1199">
        <v>7000</v>
      </c>
      <c r="N1199">
        <v>42</v>
      </c>
      <c r="P1199">
        <v>2625</v>
      </c>
      <c r="Q1199" t="s">
        <v>242</v>
      </c>
      <c r="T1199">
        <v>0</v>
      </c>
      <c r="X1199" t="s">
        <v>2418</v>
      </c>
    </row>
    <row r="1200" spans="1:24" x14ac:dyDescent="0.25">
      <c r="A1200">
        <f t="shared" ca="1" si="94"/>
        <v>0</v>
      </c>
      <c r="C1200">
        <f t="shared" ca="1" si="95"/>
        <v>0</v>
      </c>
      <c r="D1200" t="s">
        <v>57</v>
      </c>
      <c r="E1200" t="s">
        <v>237</v>
      </c>
      <c r="F1200">
        <v>229</v>
      </c>
      <c r="G1200" t="s">
        <v>584</v>
      </c>
      <c r="H1200" t="s">
        <v>1377</v>
      </c>
      <c r="I1200" t="s">
        <v>44</v>
      </c>
      <c r="J1200" t="s">
        <v>57</v>
      </c>
      <c r="K1200" t="s">
        <v>240</v>
      </c>
      <c r="L1200" t="s">
        <v>2419</v>
      </c>
      <c r="M1200">
        <v>16500</v>
      </c>
      <c r="N1200">
        <v>45</v>
      </c>
      <c r="O1200">
        <v>5078518</v>
      </c>
      <c r="P1200">
        <v>1519</v>
      </c>
      <c r="Q1200" t="s">
        <v>1379</v>
      </c>
      <c r="R1200">
        <v>2206.6</v>
      </c>
      <c r="T1200">
        <v>2206.6</v>
      </c>
    </row>
    <row r="1201" spans="1:26" x14ac:dyDescent="0.25">
      <c r="A1201">
        <f t="shared" ca="1" si="94"/>
        <v>0</v>
      </c>
      <c r="C1201">
        <f t="shared" ca="1" si="95"/>
        <v>0</v>
      </c>
      <c r="D1201" t="s">
        <v>41</v>
      </c>
      <c r="E1201" t="s">
        <v>27</v>
      </c>
      <c r="F1201">
        <v>843</v>
      </c>
      <c r="G1201" t="s">
        <v>28</v>
      </c>
      <c r="H1201" t="s">
        <v>2420</v>
      </c>
      <c r="I1201" t="s">
        <v>44</v>
      </c>
      <c r="J1201" t="s">
        <v>41</v>
      </c>
      <c r="K1201" t="s">
        <v>31</v>
      </c>
      <c r="L1201" t="s">
        <v>2421</v>
      </c>
      <c r="O1201">
        <v>5082646</v>
      </c>
      <c r="P1201">
        <v>5978</v>
      </c>
      <c r="Q1201" t="s">
        <v>54</v>
      </c>
      <c r="R1201">
        <v>6058.8</v>
      </c>
      <c r="S1201">
        <v>6058.8</v>
      </c>
      <c r="T1201">
        <v>0</v>
      </c>
      <c r="U1201" t="s">
        <v>34</v>
      </c>
      <c r="V1201" s="1">
        <v>46204</v>
      </c>
      <c r="W1201" s="1">
        <v>46223</v>
      </c>
    </row>
    <row r="1202" spans="1:26" x14ac:dyDescent="0.25">
      <c r="A1202">
        <f t="shared" ca="1" si="94"/>
        <v>0</v>
      </c>
      <c r="C1202">
        <f t="shared" ca="1" si="95"/>
        <v>0</v>
      </c>
      <c r="D1202" t="s">
        <v>285</v>
      </c>
      <c r="E1202" t="s">
        <v>49</v>
      </c>
      <c r="F1202">
        <v>1633</v>
      </c>
      <c r="G1202" t="s">
        <v>670</v>
      </c>
      <c r="H1202" t="s">
        <v>2422</v>
      </c>
      <c r="I1202" t="s">
        <v>187</v>
      </c>
      <c r="J1202" t="s">
        <v>285</v>
      </c>
      <c r="K1202" t="s">
        <v>326</v>
      </c>
      <c r="L1202" t="s">
        <v>2423</v>
      </c>
      <c r="O1202">
        <v>5097762</v>
      </c>
      <c r="P1202">
        <v>16262</v>
      </c>
      <c r="Q1202" t="s">
        <v>697</v>
      </c>
      <c r="R1202">
        <v>2684.86</v>
      </c>
      <c r="T1202">
        <v>2684.86</v>
      </c>
      <c r="U1202" t="s">
        <v>40</v>
      </c>
      <c r="V1202" s="1">
        <v>46216</v>
      </c>
      <c r="W1202" s="1">
        <v>46248</v>
      </c>
    </row>
    <row r="1203" spans="1:26" x14ac:dyDescent="0.25">
      <c r="A1203">
        <f t="shared" ca="1" si="94"/>
        <v>0</v>
      </c>
      <c r="C1203">
        <f t="shared" ca="1" si="95"/>
        <v>0</v>
      </c>
      <c r="D1203" t="s">
        <v>355</v>
      </c>
      <c r="E1203" t="s">
        <v>58</v>
      </c>
      <c r="F1203">
        <v>254</v>
      </c>
      <c r="G1203" t="s">
        <v>59</v>
      </c>
      <c r="H1203" t="s">
        <v>2424</v>
      </c>
      <c r="I1203" t="s">
        <v>30</v>
      </c>
      <c r="J1203" t="s">
        <v>355</v>
      </c>
      <c r="K1203" t="s">
        <v>61</v>
      </c>
      <c r="L1203" t="s">
        <v>2425</v>
      </c>
      <c r="P1203">
        <v>2979</v>
      </c>
      <c r="Q1203" t="s">
        <v>2294</v>
      </c>
      <c r="R1203">
        <v>2145.66</v>
      </c>
      <c r="S1203">
        <v>2145.66</v>
      </c>
      <c r="T1203">
        <v>0</v>
      </c>
    </row>
    <row r="1204" spans="1:26" x14ac:dyDescent="0.25">
      <c r="A1204">
        <f t="shared" ca="1" si="94"/>
        <v>0</v>
      </c>
      <c r="C1204">
        <f t="shared" ca="1" si="95"/>
        <v>0</v>
      </c>
      <c r="D1204" t="s">
        <v>196</v>
      </c>
      <c r="E1204" t="s">
        <v>58</v>
      </c>
      <c r="F1204">
        <v>2377</v>
      </c>
      <c r="G1204" t="s">
        <v>747</v>
      </c>
      <c r="H1204" t="s">
        <v>2426</v>
      </c>
      <c r="I1204" t="s">
        <v>187</v>
      </c>
      <c r="J1204" t="s">
        <v>196</v>
      </c>
      <c r="K1204" t="s">
        <v>61</v>
      </c>
      <c r="L1204" t="s">
        <v>2427</v>
      </c>
      <c r="P1204">
        <v>26424</v>
      </c>
      <c r="Q1204" t="s">
        <v>2428</v>
      </c>
      <c r="R1204">
        <v>2772.16</v>
      </c>
      <c r="S1204">
        <v>2772.16</v>
      </c>
      <c r="T1204">
        <v>0</v>
      </c>
    </row>
    <row r="1205" spans="1:26" x14ac:dyDescent="0.25">
      <c r="A1205">
        <f t="shared" ca="1" si="94"/>
        <v>0</v>
      </c>
      <c r="C1205">
        <f t="shared" ca="1" si="95"/>
        <v>0</v>
      </c>
      <c r="D1205" t="s">
        <v>48</v>
      </c>
      <c r="E1205" t="s">
        <v>237</v>
      </c>
      <c r="F1205">
        <v>278</v>
      </c>
      <c r="G1205" t="s">
        <v>584</v>
      </c>
      <c r="H1205" t="s">
        <v>2429</v>
      </c>
      <c r="I1205" t="s">
        <v>30</v>
      </c>
      <c r="J1205" t="s">
        <v>48</v>
      </c>
      <c r="K1205" t="s">
        <v>240</v>
      </c>
      <c r="L1205" t="s">
        <v>2430</v>
      </c>
      <c r="O1205">
        <v>5014113</v>
      </c>
      <c r="P1205">
        <v>81</v>
      </c>
      <c r="Q1205" t="s">
        <v>102</v>
      </c>
      <c r="R1205">
        <v>0</v>
      </c>
      <c r="T1205">
        <v>0</v>
      </c>
    </row>
    <row r="1206" spans="1:26" x14ac:dyDescent="0.25">
      <c r="A1206">
        <f t="shared" ca="1" si="94"/>
        <v>0</v>
      </c>
      <c r="C1206">
        <f t="shared" ca="1" si="95"/>
        <v>0</v>
      </c>
      <c r="D1206" t="s">
        <v>285</v>
      </c>
      <c r="E1206" t="s">
        <v>237</v>
      </c>
      <c r="F1206">
        <v>152</v>
      </c>
      <c r="G1206" t="s">
        <v>887</v>
      </c>
      <c r="H1206" t="s">
        <v>2431</v>
      </c>
      <c r="I1206" t="s">
        <v>187</v>
      </c>
      <c r="J1206" t="s">
        <v>285</v>
      </c>
      <c r="K1206" t="s">
        <v>240</v>
      </c>
      <c r="L1206" t="s">
        <v>2432</v>
      </c>
      <c r="O1206">
        <v>5029819</v>
      </c>
      <c r="P1206">
        <v>7669</v>
      </c>
      <c r="Q1206" t="s">
        <v>261</v>
      </c>
      <c r="R1206">
        <v>0</v>
      </c>
      <c r="T1206">
        <v>0</v>
      </c>
    </row>
    <row r="1207" spans="1:26" x14ac:dyDescent="0.25">
      <c r="A1207">
        <f t="shared" ca="1" si="94"/>
        <v>0</v>
      </c>
      <c r="C1207">
        <f t="shared" ca="1" si="95"/>
        <v>0</v>
      </c>
      <c r="D1207" t="s">
        <v>41</v>
      </c>
      <c r="E1207" t="s">
        <v>49</v>
      </c>
      <c r="F1207">
        <v>1239</v>
      </c>
      <c r="G1207" t="s">
        <v>670</v>
      </c>
      <c r="H1207" t="s">
        <v>716</v>
      </c>
      <c r="I1207" t="s">
        <v>44</v>
      </c>
      <c r="J1207" t="s">
        <v>41</v>
      </c>
      <c r="K1207" t="s">
        <v>326</v>
      </c>
      <c r="L1207" t="s">
        <v>2433</v>
      </c>
      <c r="O1207">
        <v>5062662</v>
      </c>
      <c r="P1207">
        <v>563</v>
      </c>
      <c r="Q1207" t="s">
        <v>718</v>
      </c>
      <c r="R1207">
        <v>6423.11</v>
      </c>
      <c r="S1207">
        <v>6423.11</v>
      </c>
      <c r="T1207">
        <v>0</v>
      </c>
      <c r="U1207" t="s">
        <v>34</v>
      </c>
      <c r="V1207" s="1">
        <v>46132</v>
      </c>
      <c r="W1207" s="1">
        <v>46136</v>
      </c>
    </row>
    <row r="1208" spans="1:26" x14ac:dyDescent="0.25">
      <c r="A1208">
        <f t="shared" ca="1" si="94"/>
        <v>0</v>
      </c>
      <c r="C1208">
        <f t="shared" ca="1" si="95"/>
        <v>0</v>
      </c>
      <c r="D1208" t="s">
        <v>203</v>
      </c>
      <c r="E1208" t="s">
        <v>64</v>
      </c>
      <c r="F1208">
        <v>103</v>
      </c>
      <c r="G1208" t="s">
        <v>588</v>
      </c>
      <c r="H1208" t="s">
        <v>589</v>
      </c>
      <c r="I1208" t="s">
        <v>44</v>
      </c>
      <c r="J1208" t="s">
        <v>203</v>
      </c>
      <c r="K1208" t="s">
        <v>67</v>
      </c>
      <c r="L1208" t="s">
        <v>1941</v>
      </c>
      <c r="M1208">
        <v>12000</v>
      </c>
      <c r="N1208">
        <v>131</v>
      </c>
      <c r="O1208">
        <v>5085335</v>
      </c>
      <c r="P1208">
        <v>153</v>
      </c>
      <c r="Q1208" t="s">
        <v>98</v>
      </c>
      <c r="R1208">
        <v>2785.2</v>
      </c>
      <c r="S1208">
        <v>2785.2</v>
      </c>
      <c r="T1208">
        <v>0</v>
      </c>
      <c r="U1208" t="s">
        <v>34</v>
      </c>
    </row>
    <row r="1209" spans="1:26" x14ac:dyDescent="0.25">
      <c r="A1209">
        <f t="shared" ca="1" si="94"/>
        <v>0</v>
      </c>
      <c r="C1209">
        <f t="shared" ca="1" si="95"/>
        <v>0</v>
      </c>
      <c r="D1209" t="s">
        <v>79</v>
      </c>
      <c r="E1209" t="s">
        <v>245</v>
      </c>
      <c r="F1209">
        <v>2233</v>
      </c>
      <c r="G1209" t="s">
        <v>771</v>
      </c>
      <c r="H1209" t="s">
        <v>1138</v>
      </c>
      <c r="I1209" t="s">
        <v>30</v>
      </c>
      <c r="J1209" t="s">
        <v>79</v>
      </c>
      <c r="K1209" t="s">
        <v>188</v>
      </c>
      <c r="L1209" t="s">
        <v>2434</v>
      </c>
      <c r="M1209">
        <v>2000</v>
      </c>
      <c r="N1209">
        <v>754</v>
      </c>
      <c r="O1209">
        <v>5014082</v>
      </c>
      <c r="P1209">
        <v>6364</v>
      </c>
      <c r="Q1209" t="s">
        <v>331</v>
      </c>
      <c r="R1209">
        <v>2187.06</v>
      </c>
      <c r="S1209">
        <v>2187.06</v>
      </c>
      <c r="T1209">
        <v>0</v>
      </c>
      <c r="U1209" t="s">
        <v>34</v>
      </c>
    </row>
    <row r="1210" spans="1:26" x14ac:dyDescent="0.25">
      <c r="A1210">
        <f t="shared" ca="1" si="94"/>
        <v>0</v>
      </c>
      <c r="C1210">
        <f t="shared" ca="1" si="95"/>
        <v>0</v>
      </c>
      <c r="D1210" t="s">
        <v>209</v>
      </c>
      <c r="E1210" t="s">
        <v>184</v>
      </c>
      <c r="F1210">
        <v>1277</v>
      </c>
      <c r="G1210" t="s">
        <v>185</v>
      </c>
      <c r="H1210" t="s">
        <v>340</v>
      </c>
      <c r="I1210" t="s">
        <v>44</v>
      </c>
      <c r="J1210" t="s">
        <v>209</v>
      </c>
      <c r="K1210" t="s">
        <v>188</v>
      </c>
      <c r="L1210" t="s">
        <v>2435</v>
      </c>
      <c r="M1210">
        <v>10000</v>
      </c>
      <c r="N1210">
        <v>456</v>
      </c>
      <c r="O1210">
        <v>5014192</v>
      </c>
      <c r="P1210">
        <v>6364</v>
      </c>
      <c r="Q1210" t="s">
        <v>331</v>
      </c>
      <c r="R1210">
        <v>3622.1</v>
      </c>
      <c r="S1210">
        <v>3622.1</v>
      </c>
      <c r="T1210">
        <v>0</v>
      </c>
      <c r="U1210" t="s">
        <v>34</v>
      </c>
      <c r="V1210" s="1">
        <v>46083</v>
      </c>
      <c r="W1210" s="1">
        <v>46094</v>
      </c>
      <c r="Y1210" t="s">
        <v>47</v>
      </c>
      <c r="Z1210" s="1">
        <v>46069</v>
      </c>
    </row>
    <row r="1211" spans="1:26" x14ac:dyDescent="0.25">
      <c r="A1211">
        <f t="shared" ca="1" si="94"/>
        <v>0</v>
      </c>
      <c r="C1211">
        <f t="shared" ca="1" si="95"/>
        <v>0</v>
      </c>
      <c r="D1211" t="s">
        <v>95</v>
      </c>
      <c r="E1211" t="s">
        <v>250</v>
      </c>
      <c r="F1211">
        <v>1917</v>
      </c>
      <c r="G1211" t="s">
        <v>996</v>
      </c>
      <c r="H1211" t="s">
        <v>2436</v>
      </c>
      <c r="I1211" t="s">
        <v>30</v>
      </c>
      <c r="J1211" t="s">
        <v>95</v>
      </c>
      <c r="K1211" t="s">
        <v>253</v>
      </c>
      <c r="L1211" t="s">
        <v>2437</v>
      </c>
      <c r="O1211">
        <v>5033175</v>
      </c>
      <c r="P1211">
        <v>6761</v>
      </c>
      <c r="Q1211" t="s">
        <v>255</v>
      </c>
      <c r="R1211">
        <v>2368.3000000000002</v>
      </c>
      <c r="S1211">
        <v>2368.3000000000002</v>
      </c>
      <c r="T1211">
        <v>0</v>
      </c>
      <c r="U1211" t="s">
        <v>34</v>
      </c>
      <c r="V1211" s="1">
        <v>46076</v>
      </c>
      <c r="W1211" s="1">
        <v>46081</v>
      </c>
    </row>
    <row r="1212" spans="1:26" x14ac:dyDescent="0.25">
      <c r="A1212">
        <f t="shared" ca="1" si="94"/>
        <v>0</v>
      </c>
      <c r="C1212">
        <f t="shared" ca="1" si="95"/>
        <v>0</v>
      </c>
      <c r="D1212" t="s">
        <v>285</v>
      </c>
      <c r="E1212" t="s">
        <v>58</v>
      </c>
      <c r="F1212">
        <v>177</v>
      </c>
      <c r="G1212" t="s">
        <v>224</v>
      </c>
      <c r="H1212" t="s">
        <v>1994</v>
      </c>
      <c r="I1212" t="s">
        <v>187</v>
      </c>
      <c r="J1212" t="s">
        <v>285</v>
      </c>
      <c r="K1212" t="s">
        <v>61</v>
      </c>
      <c r="L1212" t="s">
        <v>2438</v>
      </c>
      <c r="P1212">
        <v>7893</v>
      </c>
      <c r="Q1212" t="s">
        <v>1996</v>
      </c>
      <c r="R1212">
        <v>3545.81</v>
      </c>
      <c r="S1212">
        <v>3545.81</v>
      </c>
      <c r="T1212">
        <v>0</v>
      </c>
      <c r="U1212" t="s">
        <v>34</v>
      </c>
    </row>
    <row r="1213" spans="1:26" x14ac:dyDescent="0.25">
      <c r="A1213">
        <f t="shared" ca="1" si="94"/>
        <v>0</v>
      </c>
      <c r="C1213">
        <f t="shared" ca="1" si="95"/>
        <v>0</v>
      </c>
      <c r="D1213" t="s">
        <v>209</v>
      </c>
      <c r="E1213" t="s">
        <v>58</v>
      </c>
      <c r="F1213">
        <v>36</v>
      </c>
      <c r="G1213" t="s">
        <v>897</v>
      </c>
      <c r="H1213" t="s">
        <v>2439</v>
      </c>
      <c r="I1213" t="s">
        <v>44</v>
      </c>
      <c r="J1213" t="s">
        <v>209</v>
      </c>
      <c r="K1213" t="s">
        <v>61</v>
      </c>
      <c r="L1213" t="s">
        <v>2440</v>
      </c>
      <c r="P1213">
        <v>6031</v>
      </c>
      <c r="Q1213" t="s">
        <v>1215</v>
      </c>
      <c r="R1213">
        <v>818.8</v>
      </c>
      <c r="S1213">
        <v>818.8</v>
      </c>
      <c r="T1213">
        <v>0</v>
      </c>
    </row>
    <row r="1214" spans="1:26" x14ac:dyDescent="0.25">
      <c r="A1214">
        <f t="shared" ca="1" si="94"/>
        <v>0</v>
      </c>
      <c r="C1214">
        <f t="shared" ca="1" si="95"/>
        <v>0</v>
      </c>
      <c r="D1214" t="s">
        <v>355</v>
      </c>
      <c r="E1214" t="s">
        <v>297</v>
      </c>
      <c r="F1214">
        <v>2003</v>
      </c>
      <c r="G1214" t="s">
        <v>372</v>
      </c>
      <c r="H1214" t="s">
        <v>2441</v>
      </c>
      <c r="I1214" t="s">
        <v>30</v>
      </c>
      <c r="J1214" t="s">
        <v>355</v>
      </c>
      <c r="K1214" t="s">
        <v>300</v>
      </c>
      <c r="L1214" t="s">
        <v>2442</v>
      </c>
      <c r="R1214">
        <v>14781.51</v>
      </c>
      <c r="T1214">
        <v>14781.51</v>
      </c>
      <c r="U1214" t="s">
        <v>34</v>
      </c>
      <c r="X1214" t="s">
        <v>2443</v>
      </c>
    </row>
    <row r="1215" spans="1:26" x14ac:dyDescent="0.25">
      <c r="A1215">
        <f t="shared" ca="1" si="94"/>
        <v>0</v>
      </c>
      <c r="C1215">
        <f t="shared" ca="1" si="95"/>
        <v>0</v>
      </c>
      <c r="D1215" t="s">
        <v>236</v>
      </c>
      <c r="E1215" t="s">
        <v>237</v>
      </c>
      <c r="F1215">
        <v>388</v>
      </c>
      <c r="G1215" t="s">
        <v>907</v>
      </c>
      <c r="H1215" t="s">
        <v>1515</v>
      </c>
      <c r="I1215" t="s">
        <v>44</v>
      </c>
      <c r="J1215" t="s">
        <v>236</v>
      </c>
      <c r="K1215" t="s">
        <v>240</v>
      </c>
      <c r="L1215" t="s">
        <v>2444</v>
      </c>
      <c r="M1215">
        <v>6000</v>
      </c>
      <c r="N1215">
        <v>33</v>
      </c>
      <c r="O1215">
        <v>5103062</v>
      </c>
      <c r="P1215">
        <v>13182</v>
      </c>
      <c r="Q1215" t="s">
        <v>910</v>
      </c>
      <c r="R1215">
        <v>2272.8000000000002</v>
      </c>
      <c r="T1215">
        <v>2272.8000000000002</v>
      </c>
    </row>
    <row r="1216" spans="1:26" x14ac:dyDescent="0.25">
      <c r="A1216">
        <f t="shared" ca="1" si="94"/>
        <v>0</v>
      </c>
      <c r="C1216">
        <f t="shared" ca="1" si="95"/>
        <v>0</v>
      </c>
      <c r="D1216" t="s">
        <v>48</v>
      </c>
      <c r="E1216" t="s">
        <v>445</v>
      </c>
      <c r="F1216">
        <v>1401</v>
      </c>
      <c r="G1216" t="s">
        <v>446</v>
      </c>
      <c r="H1216" t="s">
        <v>634</v>
      </c>
      <c r="I1216" t="s">
        <v>30</v>
      </c>
      <c r="J1216" t="s">
        <v>48</v>
      </c>
      <c r="K1216" t="s">
        <v>448</v>
      </c>
      <c r="L1216" t="s">
        <v>2445</v>
      </c>
      <c r="M1216">
        <v>15000</v>
      </c>
      <c r="N1216">
        <v>561</v>
      </c>
      <c r="O1216">
        <v>5120606</v>
      </c>
      <c r="P1216">
        <v>8168</v>
      </c>
      <c r="Q1216" t="s">
        <v>385</v>
      </c>
      <c r="R1216">
        <v>0</v>
      </c>
      <c r="T1216">
        <v>0</v>
      </c>
    </row>
    <row r="1217" spans="1:24" x14ac:dyDescent="0.25">
      <c r="A1217">
        <f t="shared" ca="1" si="94"/>
        <v>0</v>
      </c>
      <c r="C1217">
        <f t="shared" ca="1" si="95"/>
        <v>0</v>
      </c>
      <c r="D1217" t="s">
        <v>95</v>
      </c>
      <c r="E1217" t="s">
        <v>64</v>
      </c>
      <c r="F1217">
        <v>141</v>
      </c>
      <c r="G1217" t="s">
        <v>605</v>
      </c>
      <c r="H1217" t="s">
        <v>1774</v>
      </c>
      <c r="I1217" t="s">
        <v>30</v>
      </c>
      <c r="J1217" t="s">
        <v>95</v>
      </c>
      <c r="K1217" t="s">
        <v>67</v>
      </c>
      <c r="L1217" t="s">
        <v>2411</v>
      </c>
      <c r="M1217">
        <v>28000</v>
      </c>
      <c r="N1217">
        <v>145</v>
      </c>
      <c r="O1217">
        <v>5076057</v>
      </c>
      <c r="P1217">
        <v>14782</v>
      </c>
      <c r="Q1217" t="s">
        <v>2025</v>
      </c>
      <c r="R1217">
        <v>29161.68</v>
      </c>
      <c r="T1217">
        <v>29161.68</v>
      </c>
      <c r="U1217" t="s">
        <v>40</v>
      </c>
      <c r="V1217" s="1">
        <v>46266</v>
      </c>
      <c r="W1217" s="1">
        <v>46310</v>
      </c>
    </row>
    <row r="1218" spans="1:24" x14ac:dyDescent="0.25">
      <c r="A1218">
        <f t="shared" ca="1" si="94"/>
        <v>0</v>
      </c>
      <c r="C1218">
        <f t="shared" ca="1" si="95"/>
        <v>0</v>
      </c>
      <c r="D1218" t="s">
        <v>35</v>
      </c>
      <c r="E1218" t="s">
        <v>27</v>
      </c>
      <c r="F1218">
        <v>1843</v>
      </c>
      <c r="G1218" t="s">
        <v>36</v>
      </c>
      <c r="H1218" t="s">
        <v>2446</v>
      </c>
      <c r="I1218" t="s">
        <v>30</v>
      </c>
      <c r="J1218" t="s">
        <v>35</v>
      </c>
      <c r="K1218" t="s">
        <v>31</v>
      </c>
      <c r="L1218" t="s">
        <v>2447</v>
      </c>
      <c r="O1218">
        <v>5011528</v>
      </c>
      <c r="P1218">
        <v>6455</v>
      </c>
      <c r="Q1218" t="s">
        <v>39</v>
      </c>
      <c r="R1218">
        <v>3102.08</v>
      </c>
      <c r="T1218">
        <v>3102.08</v>
      </c>
      <c r="U1218" t="s">
        <v>40</v>
      </c>
      <c r="V1218" s="1">
        <v>45992</v>
      </c>
      <c r="W1218" s="1">
        <v>46006</v>
      </c>
    </row>
    <row r="1219" spans="1:24" x14ac:dyDescent="0.25">
      <c r="A1219">
        <f t="shared" ca="1" si="94"/>
        <v>0</v>
      </c>
      <c r="C1219">
        <f t="shared" ca="1" si="95"/>
        <v>0</v>
      </c>
      <c r="D1219" t="s">
        <v>203</v>
      </c>
      <c r="E1219" t="s">
        <v>627</v>
      </c>
      <c r="F1219">
        <v>524</v>
      </c>
      <c r="G1219" t="s">
        <v>1120</v>
      </c>
      <c r="H1219" t="s">
        <v>1121</v>
      </c>
      <c r="I1219" t="s">
        <v>44</v>
      </c>
      <c r="J1219" t="s">
        <v>203</v>
      </c>
      <c r="K1219" t="s">
        <v>188</v>
      </c>
      <c r="L1219" t="s">
        <v>2421</v>
      </c>
      <c r="M1219">
        <v>8000</v>
      </c>
      <c r="N1219">
        <v>744</v>
      </c>
      <c r="O1219">
        <v>5029344</v>
      </c>
      <c r="P1219">
        <v>39</v>
      </c>
      <c r="Q1219" t="s">
        <v>779</v>
      </c>
      <c r="R1219">
        <v>8971.58</v>
      </c>
      <c r="S1219">
        <v>8971.58</v>
      </c>
      <c r="T1219">
        <v>0</v>
      </c>
      <c r="U1219" t="s">
        <v>34</v>
      </c>
      <c r="V1219" s="1">
        <v>46160</v>
      </c>
      <c r="W1219" s="1">
        <v>46172</v>
      </c>
    </row>
    <row r="1220" spans="1:24" x14ac:dyDescent="0.25">
      <c r="A1220">
        <f t="shared" ca="1" si="94"/>
        <v>0</v>
      </c>
      <c r="C1220">
        <f t="shared" ca="1" si="95"/>
        <v>0</v>
      </c>
      <c r="D1220" t="s">
        <v>26</v>
      </c>
      <c r="E1220" t="s">
        <v>237</v>
      </c>
      <c r="F1220">
        <v>259</v>
      </c>
      <c r="G1220" t="s">
        <v>584</v>
      </c>
      <c r="H1220" t="s">
        <v>2448</v>
      </c>
      <c r="I1220" t="s">
        <v>30</v>
      </c>
      <c r="J1220" t="s">
        <v>26</v>
      </c>
      <c r="K1220" t="s">
        <v>240</v>
      </c>
      <c r="L1220" t="s">
        <v>2449</v>
      </c>
      <c r="O1220">
        <v>5038559</v>
      </c>
      <c r="P1220">
        <v>7431</v>
      </c>
      <c r="Q1220" t="s">
        <v>121</v>
      </c>
      <c r="R1220">
        <v>1932.7</v>
      </c>
      <c r="S1220">
        <v>1932.7</v>
      </c>
      <c r="T1220">
        <v>0</v>
      </c>
      <c r="U1220" t="s">
        <v>34</v>
      </c>
    </row>
    <row r="1221" spans="1:24" x14ac:dyDescent="0.25">
      <c r="A1221">
        <f t="shared" ca="1" si="94"/>
        <v>0</v>
      </c>
      <c r="C1221">
        <f t="shared" ca="1" si="95"/>
        <v>0</v>
      </c>
      <c r="D1221" t="s">
        <v>41</v>
      </c>
      <c r="E1221" t="s">
        <v>58</v>
      </c>
      <c r="F1221">
        <v>113</v>
      </c>
      <c r="G1221" t="s">
        <v>464</v>
      </c>
      <c r="H1221" t="s">
        <v>1876</v>
      </c>
      <c r="I1221" t="s">
        <v>44</v>
      </c>
      <c r="J1221" t="s">
        <v>41</v>
      </c>
      <c r="K1221" t="s">
        <v>215</v>
      </c>
      <c r="L1221" t="s">
        <v>2450</v>
      </c>
      <c r="M1221">
        <v>11000</v>
      </c>
      <c r="N1221">
        <v>206</v>
      </c>
      <c r="O1221">
        <v>5046551</v>
      </c>
      <c r="P1221">
        <v>14203</v>
      </c>
      <c r="Q1221" t="s">
        <v>1189</v>
      </c>
      <c r="R1221">
        <v>8516.2000000000007</v>
      </c>
      <c r="S1221">
        <v>8516.2000000000007</v>
      </c>
      <c r="T1221">
        <v>0</v>
      </c>
      <c r="U1221" t="s">
        <v>34</v>
      </c>
      <c r="V1221" s="1">
        <v>46188</v>
      </c>
      <c r="W1221" s="1">
        <v>46199</v>
      </c>
      <c r="X1221" t="s">
        <v>2451</v>
      </c>
    </row>
    <row r="1222" spans="1:24" x14ac:dyDescent="0.25">
      <c r="A1222">
        <f t="shared" ca="1" si="94"/>
        <v>0</v>
      </c>
      <c r="C1222">
        <f t="shared" ca="1" si="95"/>
        <v>0</v>
      </c>
      <c r="D1222" t="s">
        <v>35</v>
      </c>
      <c r="E1222" t="s">
        <v>49</v>
      </c>
      <c r="F1222">
        <v>1533</v>
      </c>
      <c r="G1222" t="s">
        <v>689</v>
      </c>
      <c r="H1222" t="s">
        <v>2452</v>
      </c>
      <c r="I1222" t="s">
        <v>30</v>
      </c>
      <c r="J1222" t="s">
        <v>35</v>
      </c>
      <c r="K1222" t="s">
        <v>326</v>
      </c>
      <c r="L1222" t="s">
        <v>2453</v>
      </c>
      <c r="P1222">
        <v>17125</v>
      </c>
      <c r="Q1222" t="s">
        <v>721</v>
      </c>
      <c r="R1222">
        <v>2400.48</v>
      </c>
      <c r="S1222">
        <v>2400.48</v>
      </c>
      <c r="T1222">
        <v>0</v>
      </c>
    </row>
    <row r="1223" spans="1:24" x14ac:dyDescent="0.25">
      <c r="A1223">
        <f t="shared" ca="1" si="94"/>
        <v>0</v>
      </c>
      <c r="C1223">
        <f t="shared" ca="1" si="95"/>
        <v>0</v>
      </c>
      <c r="D1223" t="s">
        <v>285</v>
      </c>
      <c r="E1223" t="s">
        <v>49</v>
      </c>
      <c r="F1223">
        <v>1527</v>
      </c>
      <c r="G1223" t="s">
        <v>670</v>
      </c>
      <c r="H1223" t="s">
        <v>2454</v>
      </c>
      <c r="I1223" t="s">
        <v>187</v>
      </c>
      <c r="J1223" t="s">
        <v>285</v>
      </c>
      <c r="K1223" t="s">
        <v>326</v>
      </c>
      <c r="L1223" t="s">
        <v>2455</v>
      </c>
      <c r="P1223">
        <v>13923</v>
      </c>
      <c r="Q1223" t="s">
        <v>2456</v>
      </c>
      <c r="R1223">
        <v>2848.71</v>
      </c>
      <c r="S1223">
        <v>2848.71</v>
      </c>
      <c r="T1223">
        <v>0</v>
      </c>
    </row>
    <row r="1224" spans="1:24" x14ac:dyDescent="0.25">
      <c r="A1224">
        <f t="shared" ca="1" si="94"/>
        <v>0</v>
      </c>
      <c r="C1224">
        <f t="shared" ca="1" si="95"/>
        <v>0</v>
      </c>
      <c r="D1224" t="s">
        <v>79</v>
      </c>
      <c r="E1224" t="s">
        <v>237</v>
      </c>
      <c r="F1224">
        <v>602</v>
      </c>
      <c r="G1224" t="s">
        <v>907</v>
      </c>
      <c r="H1224" t="s">
        <v>2457</v>
      </c>
      <c r="I1224" t="s">
        <v>30</v>
      </c>
      <c r="J1224" t="s">
        <v>79</v>
      </c>
      <c r="K1224" t="s">
        <v>240</v>
      </c>
      <c r="L1224" t="s">
        <v>2458</v>
      </c>
      <c r="O1224">
        <v>5074169</v>
      </c>
      <c r="P1224">
        <v>6957</v>
      </c>
      <c r="Q1224" t="s">
        <v>2459</v>
      </c>
      <c r="R1224">
        <v>4254.47</v>
      </c>
      <c r="T1224">
        <v>4254.47</v>
      </c>
    </row>
    <row r="1225" spans="1:24" x14ac:dyDescent="0.25">
      <c r="A1225">
        <f t="shared" ref="A1225:A1256" ca="1" si="96">+ Cmde</f>
        <v>0</v>
      </c>
      <c r="C1225">
        <f t="shared" ref="C1225:C1256" ca="1" si="97">+ Devis</f>
        <v>0</v>
      </c>
      <c r="D1225" t="s">
        <v>41</v>
      </c>
      <c r="E1225" t="s">
        <v>58</v>
      </c>
      <c r="F1225">
        <v>878</v>
      </c>
      <c r="G1225" t="s">
        <v>602</v>
      </c>
      <c r="H1225" t="s">
        <v>1858</v>
      </c>
      <c r="I1225" t="s">
        <v>44</v>
      </c>
      <c r="J1225" t="s">
        <v>41</v>
      </c>
      <c r="K1225" t="s">
        <v>61</v>
      </c>
      <c r="L1225" t="s">
        <v>2460</v>
      </c>
      <c r="M1225">
        <v>36000</v>
      </c>
      <c r="N1225">
        <v>195</v>
      </c>
      <c r="O1225">
        <v>5100546</v>
      </c>
      <c r="P1225">
        <v>4921</v>
      </c>
      <c r="Q1225" t="s">
        <v>94</v>
      </c>
      <c r="R1225">
        <v>461.78</v>
      </c>
      <c r="S1225">
        <v>461.78</v>
      </c>
      <c r="T1225">
        <v>0</v>
      </c>
      <c r="U1225" t="s">
        <v>34</v>
      </c>
    </row>
    <row r="1226" spans="1:24" x14ac:dyDescent="0.25">
      <c r="A1226">
        <f t="shared" ca="1" si="96"/>
        <v>0</v>
      </c>
      <c r="C1226">
        <f t="shared" ca="1" si="97"/>
        <v>0</v>
      </c>
      <c r="D1226" t="s">
        <v>57</v>
      </c>
      <c r="E1226" t="s">
        <v>49</v>
      </c>
      <c r="F1226">
        <v>1564</v>
      </c>
      <c r="G1226" t="s">
        <v>231</v>
      </c>
      <c r="H1226" t="s">
        <v>2461</v>
      </c>
      <c r="I1226" t="s">
        <v>44</v>
      </c>
      <c r="J1226" t="s">
        <v>57</v>
      </c>
      <c r="K1226" t="s">
        <v>52</v>
      </c>
      <c r="L1226" t="s">
        <v>2462</v>
      </c>
      <c r="O1226">
        <v>5106526</v>
      </c>
      <c r="P1226">
        <v>7569</v>
      </c>
      <c r="Q1226" t="s">
        <v>1894</v>
      </c>
      <c r="R1226">
        <v>2110.9</v>
      </c>
      <c r="T1226">
        <v>2110.9</v>
      </c>
      <c r="U1226" t="s">
        <v>40</v>
      </c>
      <c r="V1226" s="1">
        <v>46267</v>
      </c>
      <c r="W1226" s="1">
        <v>46276</v>
      </c>
    </row>
    <row r="1227" spans="1:24" x14ac:dyDescent="0.25">
      <c r="A1227">
        <f t="shared" ca="1" si="96"/>
        <v>0</v>
      </c>
      <c r="C1227">
        <f t="shared" ca="1" si="97"/>
        <v>0</v>
      </c>
      <c r="D1227" t="s">
        <v>41</v>
      </c>
      <c r="E1227" t="s">
        <v>58</v>
      </c>
      <c r="F1227">
        <v>560</v>
      </c>
      <c r="G1227" t="s">
        <v>897</v>
      </c>
      <c r="H1227" t="s">
        <v>2463</v>
      </c>
      <c r="I1227" t="s">
        <v>44</v>
      </c>
      <c r="J1227" t="s">
        <v>41</v>
      </c>
      <c r="K1227" t="s">
        <v>61</v>
      </c>
      <c r="L1227" t="s">
        <v>2464</v>
      </c>
      <c r="P1227">
        <v>2082</v>
      </c>
      <c r="Q1227" t="s">
        <v>2465</v>
      </c>
      <c r="R1227">
        <v>713.69</v>
      </c>
      <c r="S1227">
        <v>713.69</v>
      </c>
      <c r="T1227">
        <v>0</v>
      </c>
      <c r="U1227" t="s">
        <v>34</v>
      </c>
    </row>
    <row r="1228" spans="1:24" x14ac:dyDescent="0.25">
      <c r="A1228">
        <f t="shared" ca="1" si="96"/>
        <v>0</v>
      </c>
      <c r="C1228">
        <f t="shared" ca="1" si="97"/>
        <v>0</v>
      </c>
      <c r="D1228" t="s">
        <v>209</v>
      </c>
      <c r="E1228" t="s">
        <v>184</v>
      </c>
      <c r="F1228">
        <v>927</v>
      </c>
      <c r="G1228" t="s">
        <v>192</v>
      </c>
      <c r="H1228" t="s">
        <v>1577</v>
      </c>
      <c r="I1228" t="s">
        <v>44</v>
      </c>
      <c r="J1228" t="s">
        <v>209</v>
      </c>
      <c r="K1228" t="s">
        <v>188</v>
      </c>
      <c r="L1228" t="s">
        <v>2466</v>
      </c>
      <c r="M1228">
        <v>25000</v>
      </c>
      <c r="N1228">
        <v>452</v>
      </c>
      <c r="O1228">
        <v>5025582</v>
      </c>
      <c r="P1228">
        <v>6364</v>
      </c>
      <c r="Q1228" t="s">
        <v>331</v>
      </c>
      <c r="R1228">
        <v>12075.67</v>
      </c>
      <c r="S1228">
        <v>12075.67</v>
      </c>
      <c r="T1228">
        <v>0</v>
      </c>
      <c r="U1228" t="s">
        <v>34</v>
      </c>
      <c r="V1228" s="1">
        <v>46119</v>
      </c>
      <c r="W1228" s="1">
        <v>46153</v>
      </c>
    </row>
    <row r="1229" spans="1:24" x14ac:dyDescent="0.25">
      <c r="A1229">
        <f t="shared" ca="1" si="96"/>
        <v>0</v>
      </c>
      <c r="C1229">
        <f t="shared" ca="1" si="97"/>
        <v>0</v>
      </c>
      <c r="D1229" t="s">
        <v>41</v>
      </c>
      <c r="E1229" t="s">
        <v>445</v>
      </c>
      <c r="F1229">
        <v>2443</v>
      </c>
      <c r="G1229" t="s">
        <v>446</v>
      </c>
      <c r="H1229" t="s">
        <v>2467</v>
      </c>
      <c r="I1229" t="s">
        <v>44</v>
      </c>
      <c r="J1229" t="s">
        <v>41</v>
      </c>
      <c r="K1229" t="s">
        <v>448</v>
      </c>
      <c r="L1229" t="s">
        <v>2468</v>
      </c>
      <c r="O1229">
        <v>5037762</v>
      </c>
      <c r="P1229">
        <v>5832</v>
      </c>
      <c r="Q1229" t="s">
        <v>302</v>
      </c>
      <c r="R1229">
        <v>2706</v>
      </c>
      <c r="S1229">
        <v>2706</v>
      </c>
      <c r="T1229">
        <v>0</v>
      </c>
      <c r="U1229" t="s">
        <v>34</v>
      </c>
    </row>
    <row r="1230" spans="1:24" x14ac:dyDescent="0.25">
      <c r="A1230">
        <f t="shared" ca="1" si="96"/>
        <v>0</v>
      </c>
      <c r="C1230">
        <f t="shared" ca="1" si="97"/>
        <v>0</v>
      </c>
      <c r="D1230" t="s">
        <v>183</v>
      </c>
      <c r="E1230" t="s">
        <v>900</v>
      </c>
      <c r="F1230">
        <v>893</v>
      </c>
      <c r="G1230" t="s">
        <v>901</v>
      </c>
      <c r="H1230" t="s">
        <v>2074</v>
      </c>
      <c r="I1230" t="s">
        <v>187</v>
      </c>
      <c r="J1230" t="s">
        <v>183</v>
      </c>
      <c r="K1230" t="s">
        <v>326</v>
      </c>
      <c r="L1230" t="s">
        <v>2469</v>
      </c>
      <c r="M1230">
        <v>14000</v>
      </c>
      <c r="N1230">
        <v>278</v>
      </c>
      <c r="O1230">
        <v>5084440</v>
      </c>
      <c r="P1230">
        <v>8368</v>
      </c>
      <c r="Q1230" t="s">
        <v>1367</v>
      </c>
      <c r="R1230">
        <v>7624.65</v>
      </c>
      <c r="S1230">
        <v>7624.65</v>
      </c>
      <c r="T1230">
        <v>0</v>
      </c>
      <c r="U1230" t="s">
        <v>34</v>
      </c>
      <c r="V1230" s="1">
        <v>46188</v>
      </c>
      <c r="W1230" s="1">
        <v>46220</v>
      </c>
    </row>
    <row r="1231" spans="1:24" x14ac:dyDescent="0.25">
      <c r="A1231">
        <f t="shared" ca="1" si="96"/>
        <v>0</v>
      </c>
      <c r="C1231">
        <f t="shared" ca="1" si="97"/>
        <v>0</v>
      </c>
      <c r="D1231" t="s">
        <v>41</v>
      </c>
      <c r="E1231" t="s">
        <v>49</v>
      </c>
      <c r="F1231">
        <v>1583</v>
      </c>
      <c r="G1231" t="s">
        <v>50</v>
      </c>
      <c r="H1231" t="s">
        <v>2470</v>
      </c>
      <c r="I1231" t="s">
        <v>44</v>
      </c>
      <c r="J1231" t="s">
        <v>41</v>
      </c>
      <c r="K1231" t="s">
        <v>326</v>
      </c>
      <c r="L1231" t="s">
        <v>786</v>
      </c>
      <c r="O1231">
        <v>5093622</v>
      </c>
      <c r="P1231">
        <v>5978</v>
      </c>
      <c r="Q1231" t="s">
        <v>54</v>
      </c>
      <c r="R1231">
        <v>3190</v>
      </c>
      <c r="S1231">
        <v>3190</v>
      </c>
      <c r="T1231">
        <v>0</v>
      </c>
      <c r="U1231" t="s">
        <v>34</v>
      </c>
      <c r="V1231" s="1">
        <v>46223</v>
      </c>
      <c r="W1231" s="1">
        <v>46290</v>
      </c>
    </row>
    <row r="1232" spans="1:24" x14ac:dyDescent="0.25">
      <c r="A1232">
        <f t="shared" ca="1" si="96"/>
        <v>0</v>
      </c>
      <c r="C1232">
        <f t="shared" ca="1" si="97"/>
        <v>0</v>
      </c>
      <c r="D1232" t="s">
        <v>183</v>
      </c>
      <c r="E1232" t="s">
        <v>237</v>
      </c>
      <c r="F1232">
        <v>40</v>
      </c>
      <c r="G1232" t="s">
        <v>584</v>
      </c>
      <c r="H1232" t="s">
        <v>2471</v>
      </c>
      <c r="I1232" t="s">
        <v>187</v>
      </c>
      <c r="J1232" t="s">
        <v>183</v>
      </c>
      <c r="K1232" t="s">
        <v>240</v>
      </c>
      <c r="L1232" t="s">
        <v>2472</v>
      </c>
      <c r="O1232">
        <v>5009363</v>
      </c>
      <c r="P1232">
        <v>17442</v>
      </c>
      <c r="Q1232" t="s">
        <v>913</v>
      </c>
      <c r="R1232">
        <v>2607</v>
      </c>
      <c r="S1232">
        <v>2607</v>
      </c>
      <c r="T1232">
        <v>0</v>
      </c>
      <c r="U1232" t="s">
        <v>34</v>
      </c>
    </row>
    <row r="1233" spans="1:24" x14ac:dyDescent="0.25">
      <c r="A1233">
        <f t="shared" ca="1" si="96"/>
        <v>0</v>
      </c>
      <c r="C1233">
        <f t="shared" ca="1" si="97"/>
        <v>0</v>
      </c>
      <c r="D1233" t="s">
        <v>41</v>
      </c>
      <c r="E1233" t="s">
        <v>27</v>
      </c>
      <c r="F1233">
        <v>538</v>
      </c>
      <c r="G1233" t="s">
        <v>1078</v>
      </c>
      <c r="H1233" t="s">
        <v>2473</v>
      </c>
      <c r="I1233" t="s">
        <v>44</v>
      </c>
      <c r="J1233" t="s">
        <v>41</v>
      </c>
      <c r="K1233" t="s">
        <v>31</v>
      </c>
      <c r="L1233" t="s">
        <v>2474</v>
      </c>
      <c r="O1233">
        <v>5049631</v>
      </c>
      <c r="P1233">
        <v>14203</v>
      </c>
      <c r="Q1233" t="s">
        <v>1189</v>
      </c>
      <c r="R1233">
        <v>2883.47</v>
      </c>
      <c r="S1233">
        <v>2883.47</v>
      </c>
      <c r="T1233">
        <v>0</v>
      </c>
      <c r="U1233" t="s">
        <v>34</v>
      </c>
      <c r="V1233" s="1">
        <v>46111</v>
      </c>
      <c r="W1233" s="1">
        <v>46142</v>
      </c>
    </row>
    <row r="1234" spans="1:24" x14ac:dyDescent="0.25">
      <c r="A1234">
        <f t="shared" ca="1" si="96"/>
        <v>0</v>
      </c>
      <c r="C1234">
        <f t="shared" ca="1" si="97"/>
        <v>0</v>
      </c>
      <c r="D1234" t="s">
        <v>236</v>
      </c>
      <c r="E1234" t="s">
        <v>237</v>
      </c>
      <c r="F1234">
        <v>69</v>
      </c>
      <c r="G1234" t="s">
        <v>238</v>
      </c>
      <c r="H1234" t="s">
        <v>2475</v>
      </c>
      <c r="I1234" t="s">
        <v>44</v>
      </c>
      <c r="J1234" t="s">
        <v>236</v>
      </c>
      <c r="K1234" t="s">
        <v>240</v>
      </c>
      <c r="L1234" t="s">
        <v>2476</v>
      </c>
      <c r="M1234">
        <v>7000</v>
      </c>
      <c r="N1234">
        <v>42</v>
      </c>
      <c r="P1234">
        <v>2625</v>
      </c>
      <c r="Q1234" t="s">
        <v>242</v>
      </c>
      <c r="R1234">
        <v>110</v>
      </c>
      <c r="T1234">
        <v>110</v>
      </c>
    </row>
    <row r="1235" spans="1:24" x14ac:dyDescent="0.25">
      <c r="A1235">
        <f t="shared" ca="1" si="96"/>
        <v>0</v>
      </c>
      <c r="C1235">
        <f t="shared" ca="1" si="97"/>
        <v>0</v>
      </c>
      <c r="D1235" t="s">
        <v>236</v>
      </c>
      <c r="E1235" t="s">
        <v>237</v>
      </c>
      <c r="F1235">
        <v>69</v>
      </c>
      <c r="G1235" t="s">
        <v>238</v>
      </c>
      <c r="H1235" t="s">
        <v>2477</v>
      </c>
      <c r="I1235" t="s">
        <v>44</v>
      </c>
      <c r="J1235" t="s">
        <v>236</v>
      </c>
      <c r="K1235" t="s">
        <v>240</v>
      </c>
      <c r="L1235" t="s">
        <v>2478</v>
      </c>
      <c r="M1235">
        <v>7000</v>
      </c>
      <c r="N1235">
        <v>42</v>
      </c>
      <c r="P1235">
        <v>2625</v>
      </c>
      <c r="Q1235" t="s">
        <v>242</v>
      </c>
      <c r="R1235">
        <v>110</v>
      </c>
      <c r="T1235">
        <v>110</v>
      </c>
    </row>
    <row r="1236" spans="1:24" x14ac:dyDescent="0.25">
      <c r="A1236">
        <f t="shared" ca="1" si="96"/>
        <v>0</v>
      </c>
      <c r="C1236">
        <f t="shared" ca="1" si="97"/>
        <v>0</v>
      </c>
      <c r="D1236" t="s">
        <v>355</v>
      </c>
      <c r="E1236" t="s">
        <v>297</v>
      </c>
      <c r="F1236">
        <v>2001</v>
      </c>
      <c r="G1236" t="s">
        <v>372</v>
      </c>
      <c r="H1236" t="s">
        <v>2479</v>
      </c>
      <c r="I1236" t="s">
        <v>30</v>
      </c>
      <c r="J1236" t="s">
        <v>355</v>
      </c>
      <c r="K1236" t="s">
        <v>300</v>
      </c>
      <c r="L1236" t="s">
        <v>2480</v>
      </c>
      <c r="O1236">
        <v>5101444</v>
      </c>
      <c r="P1236">
        <v>17684</v>
      </c>
      <c r="Q1236" t="s">
        <v>412</v>
      </c>
      <c r="R1236">
        <v>1385.21</v>
      </c>
      <c r="S1236">
        <v>1385.21</v>
      </c>
      <c r="T1236">
        <v>0</v>
      </c>
      <c r="U1236" t="s">
        <v>34</v>
      </c>
      <c r="V1236" s="1">
        <v>46230</v>
      </c>
      <c r="W1236" s="1">
        <v>46234</v>
      </c>
    </row>
    <row r="1237" spans="1:24" x14ac:dyDescent="0.25">
      <c r="A1237">
        <f t="shared" ca="1" si="96"/>
        <v>0</v>
      </c>
      <c r="C1237">
        <f t="shared" ca="1" si="97"/>
        <v>0</v>
      </c>
      <c r="D1237" t="s">
        <v>285</v>
      </c>
      <c r="E1237" t="s">
        <v>297</v>
      </c>
      <c r="F1237">
        <v>1978</v>
      </c>
      <c r="G1237" t="s">
        <v>304</v>
      </c>
      <c r="H1237" t="s">
        <v>2481</v>
      </c>
      <c r="I1237" t="s">
        <v>187</v>
      </c>
      <c r="J1237" t="s">
        <v>285</v>
      </c>
      <c r="K1237" t="s">
        <v>300</v>
      </c>
      <c r="L1237" t="s">
        <v>2482</v>
      </c>
      <c r="O1237">
        <v>5025340</v>
      </c>
      <c r="P1237">
        <v>7801</v>
      </c>
      <c r="Q1237" t="s">
        <v>2483</v>
      </c>
      <c r="R1237">
        <v>3727.57</v>
      </c>
      <c r="S1237">
        <v>3727.57</v>
      </c>
      <c r="T1237">
        <v>0</v>
      </c>
      <c r="U1237" t="s">
        <v>34</v>
      </c>
      <c r="V1237" s="1">
        <v>46050</v>
      </c>
      <c r="W1237" s="1">
        <v>46052</v>
      </c>
    </row>
    <row r="1238" spans="1:24" x14ac:dyDescent="0.25">
      <c r="A1238">
        <f t="shared" ca="1" si="96"/>
        <v>0</v>
      </c>
      <c r="C1238">
        <f t="shared" ca="1" si="97"/>
        <v>0</v>
      </c>
      <c r="D1238" t="s">
        <v>26</v>
      </c>
      <c r="E1238" t="s">
        <v>297</v>
      </c>
      <c r="F1238">
        <v>2291</v>
      </c>
      <c r="G1238" t="s">
        <v>298</v>
      </c>
      <c r="H1238" t="s">
        <v>2484</v>
      </c>
      <c r="I1238" t="s">
        <v>30</v>
      </c>
      <c r="J1238" t="s">
        <v>26</v>
      </c>
      <c r="K1238" t="s">
        <v>300</v>
      </c>
      <c r="L1238" t="s">
        <v>2485</v>
      </c>
      <c r="O1238">
        <v>4980171</v>
      </c>
      <c r="P1238">
        <v>5832</v>
      </c>
      <c r="Q1238" t="s">
        <v>302</v>
      </c>
      <c r="R1238">
        <v>1931.33</v>
      </c>
      <c r="S1238">
        <v>1931.33</v>
      </c>
      <c r="T1238">
        <v>0</v>
      </c>
      <c r="U1238" t="s">
        <v>34</v>
      </c>
    </row>
    <row r="1239" spans="1:24" x14ac:dyDescent="0.25">
      <c r="A1239">
        <f t="shared" ca="1" si="96"/>
        <v>0</v>
      </c>
      <c r="C1239">
        <f t="shared" ca="1" si="97"/>
        <v>0</v>
      </c>
      <c r="D1239" t="s">
        <v>57</v>
      </c>
      <c r="E1239" t="s">
        <v>237</v>
      </c>
      <c r="F1239">
        <v>1308</v>
      </c>
      <c r="G1239" t="s">
        <v>887</v>
      </c>
      <c r="H1239" t="s">
        <v>1255</v>
      </c>
      <c r="I1239" t="s">
        <v>44</v>
      </c>
      <c r="J1239" t="s">
        <v>57</v>
      </c>
      <c r="K1239" t="s">
        <v>240</v>
      </c>
      <c r="L1239" t="s">
        <v>2486</v>
      </c>
      <c r="O1239">
        <v>5039522</v>
      </c>
      <c r="P1239">
        <v>29</v>
      </c>
      <c r="Q1239" t="s">
        <v>933</v>
      </c>
      <c r="R1239">
        <v>2823.49</v>
      </c>
      <c r="S1239">
        <v>2823.49</v>
      </c>
      <c r="T1239">
        <v>0</v>
      </c>
      <c r="U1239" t="s">
        <v>34</v>
      </c>
    </row>
    <row r="1240" spans="1:24" x14ac:dyDescent="0.25">
      <c r="A1240">
        <f t="shared" ca="1" si="96"/>
        <v>0</v>
      </c>
      <c r="C1240">
        <f t="shared" ca="1" si="97"/>
        <v>0</v>
      </c>
      <c r="D1240" t="s">
        <v>35</v>
      </c>
      <c r="E1240" t="s">
        <v>297</v>
      </c>
      <c r="F1240">
        <v>1352</v>
      </c>
      <c r="G1240" t="s">
        <v>359</v>
      </c>
      <c r="H1240" t="s">
        <v>2487</v>
      </c>
      <c r="I1240" t="s">
        <v>30</v>
      </c>
      <c r="J1240" t="s">
        <v>35</v>
      </c>
      <c r="K1240" t="s">
        <v>300</v>
      </c>
      <c r="L1240" t="s">
        <v>435</v>
      </c>
      <c r="M1240">
        <v>4000</v>
      </c>
      <c r="N1240">
        <v>507</v>
      </c>
      <c r="O1240">
        <v>5045779</v>
      </c>
      <c r="P1240">
        <v>21225</v>
      </c>
      <c r="Q1240" t="s">
        <v>367</v>
      </c>
      <c r="R1240">
        <v>1804.73</v>
      </c>
      <c r="S1240">
        <v>1804.73</v>
      </c>
      <c r="T1240">
        <v>0</v>
      </c>
      <c r="U1240" t="s">
        <v>34</v>
      </c>
      <c r="V1240" s="1">
        <v>46097</v>
      </c>
      <c r="W1240" s="1">
        <v>46099</v>
      </c>
    </row>
    <row r="1241" spans="1:24" x14ac:dyDescent="0.25">
      <c r="A1241">
        <f t="shared" ca="1" si="96"/>
        <v>0</v>
      </c>
      <c r="C1241">
        <f t="shared" ca="1" si="97"/>
        <v>0</v>
      </c>
      <c r="D1241" t="s">
        <v>35</v>
      </c>
      <c r="E1241" t="s">
        <v>297</v>
      </c>
      <c r="F1241">
        <v>2020</v>
      </c>
      <c r="G1241" t="s">
        <v>383</v>
      </c>
      <c r="H1241" t="s">
        <v>2488</v>
      </c>
      <c r="I1241" t="s">
        <v>30</v>
      </c>
      <c r="J1241" t="s">
        <v>35</v>
      </c>
      <c r="K1241" t="s">
        <v>300</v>
      </c>
      <c r="L1241" t="s">
        <v>2489</v>
      </c>
      <c r="O1241">
        <v>5045782</v>
      </c>
      <c r="P1241">
        <v>21225</v>
      </c>
      <c r="Q1241" t="s">
        <v>367</v>
      </c>
      <c r="R1241">
        <v>3586</v>
      </c>
      <c r="S1241">
        <v>3586</v>
      </c>
      <c r="T1241">
        <v>0</v>
      </c>
      <c r="U1241" t="s">
        <v>34</v>
      </c>
      <c r="V1241" s="1">
        <v>46104</v>
      </c>
      <c r="W1241" s="1">
        <v>46108</v>
      </c>
    </row>
    <row r="1242" spans="1:24" x14ac:dyDescent="0.25">
      <c r="A1242">
        <f t="shared" ca="1" si="96"/>
        <v>0</v>
      </c>
      <c r="C1242">
        <f t="shared" ca="1" si="97"/>
        <v>0</v>
      </c>
      <c r="D1242" t="s">
        <v>26</v>
      </c>
      <c r="E1242" t="s">
        <v>49</v>
      </c>
      <c r="F1242">
        <v>1560</v>
      </c>
      <c r="G1242" t="s">
        <v>228</v>
      </c>
      <c r="H1242" t="s">
        <v>2490</v>
      </c>
      <c r="I1242" t="s">
        <v>30</v>
      </c>
      <c r="J1242" t="s">
        <v>26</v>
      </c>
      <c r="K1242" t="s">
        <v>326</v>
      </c>
      <c r="L1242" t="s">
        <v>2491</v>
      </c>
      <c r="O1242">
        <v>5057223</v>
      </c>
      <c r="P1242">
        <v>6810</v>
      </c>
      <c r="Q1242" t="s">
        <v>765</v>
      </c>
      <c r="R1242">
        <v>2255</v>
      </c>
      <c r="S1242">
        <v>2255</v>
      </c>
      <c r="T1242">
        <v>0</v>
      </c>
      <c r="U1242" t="s">
        <v>34</v>
      </c>
      <c r="V1242" s="1">
        <v>46132</v>
      </c>
      <c r="W1242" s="1">
        <v>46142</v>
      </c>
    </row>
    <row r="1243" spans="1:24" x14ac:dyDescent="0.25">
      <c r="A1243">
        <f t="shared" ca="1" si="96"/>
        <v>0</v>
      </c>
      <c r="C1243">
        <f t="shared" ca="1" si="97"/>
        <v>0</v>
      </c>
      <c r="D1243" t="s">
        <v>35</v>
      </c>
      <c r="E1243" t="s">
        <v>184</v>
      </c>
      <c r="F1243">
        <v>815</v>
      </c>
      <c r="G1243" t="s">
        <v>334</v>
      </c>
      <c r="H1243" t="s">
        <v>2492</v>
      </c>
      <c r="I1243" t="s">
        <v>30</v>
      </c>
      <c r="J1243" t="s">
        <v>35</v>
      </c>
      <c r="K1243" t="s">
        <v>188</v>
      </c>
      <c r="L1243" t="s">
        <v>1309</v>
      </c>
      <c r="O1243">
        <v>5073384</v>
      </c>
      <c r="P1243">
        <v>6364</v>
      </c>
      <c r="Q1243" t="s">
        <v>331</v>
      </c>
      <c r="R1243">
        <v>2185.59</v>
      </c>
      <c r="S1243">
        <v>2185.59</v>
      </c>
      <c r="T1243">
        <v>0</v>
      </c>
      <c r="U1243" t="s">
        <v>34</v>
      </c>
    </row>
    <row r="1244" spans="1:24" x14ac:dyDescent="0.25">
      <c r="A1244">
        <f t="shared" ca="1" si="96"/>
        <v>0</v>
      </c>
      <c r="C1244">
        <f t="shared" ca="1" si="97"/>
        <v>0</v>
      </c>
      <c r="D1244" t="s">
        <v>35</v>
      </c>
      <c r="E1244" t="s">
        <v>297</v>
      </c>
      <c r="F1244">
        <v>2001</v>
      </c>
      <c r="G1244" t="s">
        <v>372</v>
      </c>
      <c r="H1244" t="s">
        <v>2493</v>
      </c>
      <c r="I1244" t="s">
        <v>30</v>
      </c>
      <c r="J1244" t="s">
        <v>35</v>
      </c>
      <c r="K1244" t="s">
        <v>300</v>
      </c>
      <c r="L1244" t="s">
        <v>2494</v>
      </c>
      <c r="O1244">
        <v>5073971</v>
      </c>
      <c r="P1244">
        <v>21225</v>
      </c>
      <c r="Q1244" t="s">
        <v>367</v>
      </c>
      <c r="R1244">
        <v>3573.17</v>
      </c>
      <c r="S1244">
        <v>3573.17</v>
      </c>
      <c r="U1244" t="s">
        <v>34</v>
      </c>
      <c r="V1244" s="1">
        <v>46160</v>
      </c>
      <c r="W1244" s="1">
        <v>46164</v>
      </c>
    </row>
    <row r="1245" spans="1:24" x14ac:dyDescent="0.25">
      <c r="A1245">
        <f t="shared" ca="1" si="96"/>
        <v>0</v>
      </c>
      <c r="C1245">
        <f t="shared" ca="1" si="97"/>
        <v>0</v>
      </c>
      <c r="D1245" t="s">
        <v>285</v>
      </c>
      <c r="E1245" t="s">
        <v>297</v>
      </c>
      <c r="F1245">
        <v>2001</v>
      </c>
      <c r="G1245" t="s">
        <v>372</v>
      </c>
      <c r="H1245" t="s">
        <v>418</v>
      </c>
      <c r="I1245" t="s">
        <v>187</v>
      </c>
      <c r="J1245" t="s">
        <v>285</v>
      </c>
      <c r="K1245" t="s">
        <v>300</v>
      </c>
      <c r="L1245" t="s">
        <v>2480</v>
      </c>
      <c r="O1245">
        <v>5080718</v>
      </c>
      <c r="P1245">
        <v>17684</v>
      </c>
      <c r="Q1245" t="s">
        <v>412</v>
      </c>
      <c r="R1245">
        <v>5540.83</v>
      </c>
      <c r="S1245">
        <v>5540.83</v>
      </c>
      <c r="T1245">
        <v>0</v>
      </c>
      <c r="U1245" t="s">
        <v>34</v>
      </c>
      <c r="V1245" s="1">
        <v>46181</v>
      </c>
      <c r="W1245" s="1">
        <v>46185</v>
      </c>
      <c r="X1245" t="s">
        <v>2495</v>
      </c>
    </row>
    <row r="1246" spans="1:24" x14ac:dyDescent="0.25">
      <c r="A1246">
        <f t="shared" ca="1" si="96"/>
        <v>0</v>
      </c>
      <c r="C1246">
        <f t="shared" ca="1" si="97"/>
        <v>0</v>
      </c>
      <c r="D1246" t="s">
        <v>35</v>
      </c>
      <c r="E1246" t="s">
        <v>297</v>
      </c>
      <c r="F1246">
        <v>1352</v>
      </c>
      <c r="G1246" t="s">
        <v>359</v>
      </c>
      <c r="H1246" t="s">
        <v>2496</v>
      </c>
      <c r="I1246" t="s">
        <v>30</v>
      </c>
      <c r="J1246" t="s">
        <v>35</v>
      </c>
      <c r="K1246" t="s">
        <v>300</v>
      </c>
      <c r="L1246" t="s">
        <v>2497</v>
      </c>
      <c r="M1246">
        <v>4000</v>
      </c>
      <c r="N1246">
        <v>507</v>
      </c>
      <c r="O1246">
        <v>5080754</v>
      </c>
      <c r="P1246">
        <v>7185</v>
      </c>
      <c r="Q1246" t="s">
        <v>364</v>
      </c>
      <c r="R1246">
        <v>1859</v>
      </c>
      <c r="T1246">
        <v>1859</v>
      </c>
      <c r="U1246" t="s">
        <v>40</v>
      </c>
      <c r="V1246" s="1">
        <v>46181</v>
      </c>
      <c r="W1246" s="1">
        <v>46184</v>
      </c>
    </row>
    <row r="1247" spans="1:24" x14ac:dyDescent="0.25">
      <c r="A1247">
        <f t="shared" ca="1" si="96"/>
        <v>0</v>
      </c>
      <c r="C1247">
        <f t="shared" ca="1" si="97"/>
        <v>0</v>
      </c>
      <c r="D1247" t="s">
        <v>26</v>
      </c>
      <c r="E1247" t="s">
        <v>184</v>
      </c>
      <c r="F1247">
        <v>846</v>
      </c>
      <c r="G1247" t="s">
        <v>192</v>
      </c>
      <c r="H1247" t="s">
        <v>2498</v>
      </c>
      <c r="I1247" t="s">
        <v>30</v>
      </c>
      <c r="J1247" t="s">
        <v>26</v>
      </c>
      <c r="K1247" t="s">
        <v>188</v>
      </c>
      <c r="L1247" t="s">
        <v>2499</v>
      </c>
      <c r="M1247">
        <v>16000</v>
      </c>
      <c r="N1247">
        <v>458</v>
      </c>
      <c r="O1247">
        <v>5088353</v>
      </c>
      <c r="P1247">
        <v>480</v>
      </c>
      <c r="Q1247" t="s">
        <v>208</v>
      </c>
    </row>
    <row r="1248" spans="1:24" x14ac:dyDescent="0.25">
      <c r="A1248">
        <f t="shared" ca="1" si="96"/>
        <v>0</v>
      </c>
      <c r="C1248">
        <f t="shared" ca="1" si="97"/>
        <v>0</v>
      </c>
      <c r="D1248" t="s">
        <v>26</v>
      </c>
      <c r="E1248" t="s">
        <v>49</v>
      </c>
      <c r="F1248">
        <v>1665</v>
      </c>
      <c r="G1248" t="s">
        <v>692</v>
      </c>
      <c r="H1248" t="s">
        <v>2500</v>
      </c>
      <c r="I1248" t="s">
        <v>30</v>
      </c>
      <c r="J1248" t="s">
        <v>26</v>
      </c>
      <c r="K1248" t="s">
        <v>52</v>
      </c>
      <c r="L1248" t="s">
        <v>2501</v>
      </c>
      <c r="O1248">
        <v>5106783</v>
      </c>
      <c r="P1248">
        <v>6455</v>
      </c>
      <c r="Q1248" t="s">
        <v>39</v>
      </c>
      <c r="R1248">
        <v>3067.52</v>
      </c>
      <c r="T1248">
        <v>3067.52</v>
      </c>
      <c r="U1248" t="s">
        <v>107</v>
      </c>
      <c r="V1248" s="1">
        <v>46307</v>
      </c>
      <c r="W1248" s="1">
        <v>46318</v>
      </c>
    </row>
    <row r="1249" spans="1:24" x14ac:dyDescent="0.25">
      <c r="A1249">
        <f t="shared" ca="1" si="96"/>
        <v>0</v>
      </c>
      <c r="C1249">
        <f t="shared" ca="1" si="97"/>
        <v>0</v>
      </c>
      <c r="D1249" t="s">
        <v>183</v>
      </c>
      <c r="E1249" t="s">
        <v>250</v>
      </c>
      <c r="F1249">
        <v>1929</v>
      </c>
      <c r="G1249" t="s">
        <v>996</v>
      </c>
      <c r="H1249" t="s">
        <v>2502</v>
      </c>
      <c r="I1249" t="s">
        <v>187</v>
      </c>
      <c r="J1249" t="s">
        <v>183</v>
      </c>
      <c r="K1249" t="s">
        <v>253</v>
      </c>
      <c r="L1249" t="s">
        <v>992</v>
      </c>
      <c r="O1249">
        <v>5119207</v>
      </c>
      <c r="P1249">
        <v>6069</v>
      </c>
      <c r="Q1249" t="s">
        <v>1044</v>
      </c>
      <c r="R1249">
        <v>5500</v>
      </c>
      <c r="T1249">
        <v>5500</v>
      </c>
      <c r="U1249" t="s">
        <v>40</v>
      </c>
      <c r="V1249" s="1">
        <v>46280</v>
      </c>
      <c r="W1249" s="1">
        <v>46310</v>
      </c>
    </row>
    <row r="1250" spans="1:24" x14ac:dyDescent="0.25">
      <c r="A1250">
        <f t="shared" ca="1" si="96"/>
        <v>0</v>
      </c>
      <c r="C1250">
        <f t="shared" ca="1" si="97"/>
        <v>0</v>
      </c>
      <c r="D1250" t="s">
        <v>95</v>
      </c>
      <c r="E1250" t="s">
        <v>64</v>
      </c>
      <c r="F1250">
        <v>141</v>
      </c>
      <c r="G1250" t="s">
        <v>605</v>
      </c>
      <c r="H1250" t="s">
        <v>1774</v>
      </c>
      <c r="I1250" t="s">
        <v>30</v>
      </c>
      <c r="J1250" t="s">
        <v>95</v>
      </c>
      <c r="K1250" t="s">
        <v>67</v>
      </c>
      <c r="L1250" t="s">
        <v>2411</v>
      </c>
      <c r="M1250">
        <v>28000</v>
      </c>
      <c r="N1250">
        <v>145</v>
      </c>
      <c r="O1250">
        <v>5122123</v>
      </c>
      <c r="P1250">
        <v>3718</v>
      </c>
      <c r="Q1250" t="s">
        <v>113</v>
      </c>
      <c r="R1250">
        <v>2132.09</v>
      </c>
      <c r="T1250">
        <v>2132.09</v>
      </c>
    </row>
    <row r="1251" spans="1:24" x14ac:dyDescent="0.25">
      <c r="A1251">
        <f t="shared" ca="1" si="96"/>
        <v>0</v>
      </c>
      <c r="C1251">
        <f t="shared" ca="1" si="97"/>
        <v>0</v>
      </c>
      <c r="D1251" t="s">
        <v>285</v>
      </c>
      <c r="E1251" t="s">
        <v>58</v>
      </c>
      <c r="F1251">
        <v>940</v>
      </c>
      <c r="G1251" t="s">
        <v>1038</v>
      </c>
      <c r="H1251" t="s">
        <v>1845</v>
      </c>
      <c r="I1251" t="s">
        <v>187</v>
      </c>
      <c r="J1251" t="s">
        <v>285</v>
      </c>
      <c r="K1251" t="s">
        <v>61</v>
      </c>
      <c r="L1251" t="s">
        <v>2503</v>
      </c>
      <c r="M1251">
        <v>12000</v>
      </c>
      <c r="N1251">
        <v>187</v>
      </c>
      <c r="O1251">
        <v>5006488</v>
      </c>
      <c r="P1251">
        <v>8898</v>
      </c>
      <c r="Q1251" t="s">
        <v>1847</v>
      </c>
      <c r="R1251">
        <v>1736.63</v>
      </c>
      <c r="S1251">
        <v>1736.63</v>
      </c>
      <c r="T1251">
        <v>0</v>
      </c>
      <c r="U1251" t="s">
        <v>34</v>
      </c>
      <c r="V1251" s="1">
        <v>46113</v>
      </c>
      <c r="W1251" s="1">
        <v>46142</v>
      </c>
    </row>
    <row r="1252" spans="1:24" x14ac:dyDescent="0.25">
      <c r="A1252">
        <f t="shared" ca="1" si="96"/>
        <v>0</v>
      </c>
      <c r="C1252">
        <f t="shared" ca="1" si="97"/>
        <v>0</v>
      </c>
      <c r="D1252" t="s">
        <v>41</v>
      </c>
      <c r="E1252" t="s">
        <v>58</v>
      </c>
      <c r="F1252">
        <v>337</v>
      </c>
      <c r="G1252" t="s">
        <v>293</v>
      </c>
      <c r="H1252" t="s">
        <v>2504</v>
      </c>
      <c r="I1252" t="s">
        <v>44</v>
      </c>
      <c r="J1252" t="s">
        <v>41</v>
      </c>
      <c r="K1252" t="s">
        <v>61</v>
      </c>
      <c r="L1252" t="s">
        <v>2505</v>
      </c>
      <c r="O1252">
        <v>4989486</v>
      </c>
      <c r="P1252">
        <v>10234</v>
      </c>
      <c r="Q1252" t="s">
        <v>2506</v>
      </c>
      <c r="R1252">
        <v>204</v>
      </c>
      <c r="S1252">
        <v>204</v>
      </c>
      <c r="T1252">
        <v>0</v>
      </c>
    </row>
    <row r="1253" spans="1:24" x14ac:dyDescent="0.25">
      <c r="A1253">
        <f t="shared" ca="1" si="96"/>
        <v>0</v>
      </c>
      <c r="C1253">
        <f t="shared" ca="1" si="97"/>
        <v>0</v>
      </c>
      <c r="D1253" t="s">
        <v>41</v>
      </c>
      <c r="E1253" t="s">
        <v>58</v>
      </c>
      <c r="F1253">
        <v>2200</v>
      </c>
      <c r="G1253" t="s">
        <v>426</v>
      </c>
      <c r="H1253" t="s">
        <v>2507</v>
      </c>
      <c r="I1253" t="s">
        <v>44</v>
      </c>
      <c r="J1253" t="s">
        <v>41</v>
      </c>
      <c r="K1253" t="s">
        <v>61</v>
      </c>
      <c r="L1253" t="s">
        <v>2508</v>
      </c>
      <c r="O1253">
        <v>4976446</v>
      </c>
      <c r="P1253">
        <v>5978</v>
      </c>
      <c r="Q1253" t="s">
        <v>54</v>
      </c>
      <c r="R1253">
        <v>2584.8000000000002</v>
      </c>
      <c r="S1253">
        <v>2584.8000000000002</v>
      </c>
      <c r="T1253">
        <v>0</v>
      </c>
      <c r="X1253" t="s">
        <v>2509</v>
      </c>
    </row>
    <row r="1254" spans="1:24" x14ac:dyDescent="0.25">
      <c r="A1254">
        <f t="shared" ca="1" si="96"/>
        <v>0</v>
      </c>
      <c r="C1254">
        <f t="shared" ca="1" si="97"/>
        <v>0</v>
      </c>
      <c r="D1254" t="s">
        <v>41</v>
      </c>
      <c r="E1254" t="s">
        <v>58</v>
      </c>
      <c r="F1254">
        <v>879</v>
      </c>
      <c r="G1254" t="s">
        <v>602</v>
      </c>
      <c r="H1254" t="s">
        <v>1425</v>
      </c>
      <c r="I1254" t="s">
        <v>44</v>
      </c>
      <c r="J1254" t="s">
        <v>41</v>
      </c>
      <c r="K1254" t="s">
        <v>61</v>
      </c>
      <c r="L1254" t="s">
        <v>2510</v>
      </c>
      <c r="O1254">
        <v>4987851</v>
      </c>
      <c r="P1254">
        <v>505</v>
      </c>
      <c r="Q1254" t="s">
        <v>438</v>
      </c>
      <c r="R1254">
        <v>1780.33</v>
      </c>
      <c r="T1254">
        <v>1780.33</v>
      </c>
      <c r="U1254" t="s">
        <v>40</v>
      </c>
      <c r="V1254" s="1">
        <v>46119</v>
      </c>
      <c r="W1254" s="1">
        <v>46142</v>
      </c>
      <c r="X1254" t="s">
        <v>2511</v>
      </c>
    </row>
    <row r="1255" spans="1:24" x14ac:dyDescent="0.25">
      <c r="A1255">
        <f t="shared" ca="1" si="96"/>
        <v>0</v>
      </c>
      <c r="C1255">
        <f t="shared" ca="1" si="97"/>
        <v>0</v>
      </c>
      <c r="D1255" t="s">
        <v>95</v>
      </c>
      <c r="E1255" t="s">
        <v>58</v>
      </c>
      <c r="F1255">
        <v>1072</v>
      </c>
      <c r="G1255" t="s">
        <v>747</v>
      </c>
      <c r="H1255" t="s">
        <v>2512</v>
      </c>
      <c r="I1255" t="s">
        <v>30</v>
      </c>
      <c r="J1255" t="s">
        <v>95</v>
      </c>
      <c r="K1255" t="s">
        <v>61</v>
      </c>
      <c r="L1255" t="s">
        <v>2513</v>
      </c>
      <c r="O1255">
        <v>4985238</v>
      </c>
      <c r="P1255">
        <v>6632</v>
      </c>
      <c r="Q1255" t="s">
        <v>1041</v>
      </c>
      <c r="R1255">
        <v>743.77</v>
      </c>
      <c r="T1255">
        <v>743.77</v>
      </c>
      <c r="U1255" t="s">
        <v>34</v>
      </c>
      <c r="X1255" t="s">
        <v>2514</v>
      </c>
    </row>
    <row r="1256" spans="1:24" x14ac:dyDescent="0.25">
      <c r="A1256">
        <f t="shared" ca="1" si="96"/>
        <v>0</v>
      </c>
      <c r="C1256">
        <f t="shared" ca="1" si="97"/>
        <v>0</v>
      </c>
      <c r="D1256" t="s">
        <v>48</v>
      </c>
      <c r="E1256" t="s">
        <v>58</v>
      </c>
      <c r="F1256">
        <v>222</v>
      </c>
      <c r="G1256" t="s">
        <v>224</v>
      </c>
      <c r="H1256" t="s">
        <v>2515</v>
      </c>
      <c r="I1256" t="s">
        <v>30</v>
      </c>
      <c r="J1256" t="s">
        <v>48</v>
      </c>
      <c r="K1256" t="s">
        <v>61</v>
      </c>
      <c r="L1256" t="s">
        <v>2516</v>
      </c>
      <c r="O1256">
        <v>4995603</v>
      </c>
      <c r="P1256">
        <v>81</v>
      </c>
      <c r="Q1256" t="s">
        <v>102</v>
      </c>
      <c r="R1256">
        <v>1782.43</v>
      </c>
      <c r="S1256">
        <v>1782.43</v>
      </c>
      <c r="T1256">
        <v>0</v>
      </c>
      <c r="U1256" t="s">
        <v>34</v>
      </c>
      <c r="X1256" t="s">
        <v>1956</v>
      </c>
    </row>
    <row r="1257" spans="1:24" x14ac:dyDescent="0.25">
      <c r="A1257">
        <f t="shared" ref="A1257:A1278" ca="1" si="98">+ Cmde</f>
        <v>0</v>
      </c>
      <c r="C1257">
        <f t="shared" ref="C1257:C1278" ca="1" si="99">+ Devis</f>
        <v>0</v>
      </c>
      <c r="D1257" t="s">
        <v>88</v>
      </c>
      <c r="E1257" t="s">
        <v>58</v>
      </c>
      <c r="F1257">
        <v>352</v>
      </c>
      <c r="G1257" t="s">
        <v>293</v>
      </c>
      <c r="H1257" t="s">
        <v>2517</v>
      </c>
      <c r="I1257" t="s">
        <v>30</v>
      </c>
      <c r="J1257" t="s">
        <v>88</v>
      </c>
      <c r="K1257" t="s">
        <v>61</v>
      </c>
      <c r="L1257" t="s">
        <v>2518</v>
      </c>
      <c r="O1257">
        <v>4953653</v>
      </c>
      <c r="P1257">
        <v>14203</v>
      </c>
      <c r="Q1257" t="s">
        <v>1189</v>
      </c>
      <c r="R1257">
        <v>231.72</v>
      </c>
      <c r="T1257">
        <v>231.72</v>
      </c>
    </row>
    <row r="1258" spans="1:24" x14ac:dyDescent="0.25">
      <c r="A1258">
        <f t="shared" ca="1" si="98"/>
        <v>0</v>
      </c>
      <c r="C1258">
        <f t="shared" ca="1" si="99"/>
        <v>0</v>
      </c>
      <c r="D1258" t="s">
        <v>95</v>
      </c>
      <c r="E1258" t="s">
        <v>58</v>
      </c>
      <c r="F1258">
        <v>9014</v>
      </c>
      <c r="G1258" t="s">
        <v>224</v>
      </c>
      <c r="H1258" t="s">
        <v>1061</v>
      </c>
      <c r="I1258" t="s">
        <v>30</v>
      </c>
      <c r="J1258" t="s">
        <v>95</v>
      </c>
      <c r="K1258" t="s">
        <v>61</v>
      </c>
      <c r="L1258" t="s">
        <v>2519</v>
      </c>
      <c r="O1258">
        <v>4914948</v>
      </c>
      <c r="P1258">
        <v>6168</v>
      </c>
      <c r="Q1258" t="s">
        <v>1063</v>
      </c>
      <c r="R1258">
        <v>4235.75</v>
      </c>
      <c r="S1258">
        <v>3465.75</v>
      </c>
      <c r="T1258">
        <v>770</v>
      </c>
      <c r="X1258" t="s">
        <v>2520</v>
      </c>
    </row>
    <row r="1259" spans="1:24" x14ac:dyDescent="0.25">
      <c r="A1259">
        <f t="shared" ca="1" si="98"/>
        <v>0</v>
      </c>
      <c r="C1259">
        <f t="shared" ca="1" si="99"/>
        <v>0</v>
      </c>
      <c r="D1259" t="s">
        <v>88</v>
      </c>
      <c r="E1259" t="s">
        <v>58</v>
      </c>
      <c r="F1259">
        <v>717</v>
      </c>
      <c r="G1259" t="s">
        <v>293</v>
      </c>
      <c r="H1259" t="s">
        <v>2521</v>
      </c>
      <c r="I1259" t="s">
        <v>30</v>
      </c>
      <c r="J1259" t="s">
        <v>88</v>
      </c>
      <c r="K1259" t="s">
        <v>61</v>
      </c>
      <c r="L1259" t="s">
        <v>2522</v>
      </c>
      <c r="O1259">
        <v>4901669</v>
      </c>
      <c r="P1259">
        <v>2427</v>
      </c>
      <c r="Q1259" t="s">
        <v>1015</v>
      </c>
      <c r="R1259">
        <v>8797.5</v>
      </c>
      <c r="S1259">
        <v>8797.5</v>
      </c>
      <c r="T1259">
        <v>0</v>
      </c>
      <c r="U1259" t="s">
        <v>34</v>
      </c>
      <c r="V1259" s="1">
        <v>46055</v>
      </c>
      <c r="W1259" s="1">
        <v>46081</v>
      </c>
      <c r="X1259" t="s">
        <v>2523</v>
      </c>
    </row>
    <row r="1260" spans="1:24" x14ac:dyDescent="0.25">
      <c r="A1260">
        <f t="shared" ca="1" si="98"/>
        <v>0</v>
      </c>
      <c r="C1260">
        <f t="shared" ca="1" si="99"/>
        <v>0</v>
      </c>
      <c r="D1260" t="s">
        <v>95</v>
      </c>
      <c r="E1260" t="s">
        <v>58</v>
      </c>
      <c r="F1260">
        <v>76</v>
      </c>
      <c r="G1260" t="s">
        <v>464</v>
      </c>
      <c r="H1260" t="s">
        <v>2524</v>
      </c>
      <c r="I1260" t="s">
        <v>30</v>
      </c>
      <c r="J1260" t="s">
        <v>95</v>
      </c>
      <c r="K1260" t="s">
        <v>61</v>
      </c>
      <c r="L1260" t="s">
        <v>2525</v>
      </c>
      <c r="O1260">
        <v>4909926</v>
      </c>
      <c r="P1260">
        <v>14782</v>
      </c>
      <c r="Q1260" t="s">
        <v>2025</v>
      </c>
      <c r="R1260">
        <v>2399.59</v>
      </c>
      <c r="S1260">
        <v>1439.42</v>
      </c>
      <c r="T1260">
        <v>960.17</v>
      </c>
    </row>
    <row r="1261" spans="1:24" x14ac:dyDescent="0.25">
      <c r="A1261">
        <f t="shared" ca="1" si="98"/>
        <v>0</v>
      </c>
      <c r="C1261">
        <f t="shared" ca="1" si="99"/>
        <v>0</v>
      </c>
      <c r="D1261" t="s">
        <v>35</v>
      </c>
      <c r="E1261" t="s">
        <v>58</v>
      </c>
      <c r="F1261">
        <v>134</v>
      </c>
      <c r="G1261" t="s">
        <v>602</v>
      </c>
      <c r="H1261" t="s">
        <v>2526</v>
      </c>
      <c r="I1261" t="s">
        <v>30</v>
      </c>
      <c r="J1261" t="s">
        <v>35</v>
      </c>
      <c r="K1261" t="s">
        <v>61</v>
      </c>
      <c r="L1261" t="s">
        <v>2527</v>
      </c>
      <c r="O1261">
        <v>4873519</v>
      </c>
      <c r="P1261">
        <v>14782</v>
      </c>
      <c r="Q1261" t="s">
        <v>2025</v>
      </c>
      <c r="R1261">
        <v>11034.55</v>
      </c>
      <c r="S1261">
        <v>10580.29</v>
      </c>
      <c r="T1261">
        <v>454.26</v>
      </c>
      <c r="U1261" t="s">
        <v>40</v>
      </c>
      <c r="V1261" s="1">
        <v>46069</v>
      </c>
      <c r="W1261" s="1">
        <v>46087</v>
      </c>
    </row>
    <row r="1262" spans="1:24" x14ac:dyDescent="0.25">
      <c r="A1262">
        <f t="shared" ca="1" si="98"/>
        <v>0</v>
      </c>
      <c r="C1262">
        <f t="shared" ca="1" si="99"/>
        <v>0</v>
      </c>
      <c r="D1262" t="s">
        <v>74</v>
      </c>
      <c r="E1262" t="s">
        <v>49</v>
      </c>
      <c r="F1262">
        <v>1551</v>
      </c>
      <c r="G1262" t="s">
        <v>263</v>
      </c>
      <c r="H1262" t="s">
        <v>952</v>
      </c>
      <c r="I1262" t="s">
        <v>30</v>
      </c>
      <c r="J1262" t="s">
        <v>74</v>
      </c>
      <c r="K1262" t="s">
        <v>52</v>
      </c>
      <c r="L1262" t="s">
        <v>2528</v>
      </c>
      <c r="M1262">
        <v>65000</v>
      </c>
      <c r="N1262">
        <v>694</v>
      </c>
      <c r="O1262">
        <v>5018496</v>
      </c>
      <c r="P1262">
        <v>533</v>
      </c>
      <c r="Q1262" t="s">
        <v>954</v>
      </c>
      <c r="R1262">
        <v>4493.2700000000004</v>
      </c>
      <c r="T1262">
        <v>4493.2700000000004</v>
      </c>
      <c r="U1262" t="s">
        <v>40</v>
      </c>
      <c r="V1262" s="1">
        <v>46253</v>
      </c>
      <c r="W1262" s="1">
        <v>46290</v>
      </c>
    </row>
    <row r="1263" spans="1:24" x14ac:dyDescent="0.25">
      <c r="A1263">
        <f t="shared" ca="1" si="98"/>
        <v>0</v>
      </c>
      <c r="C1263">
        <f t="shared" ca="1" si="99"/>
        <v>0</v>
      </c>
      <c r="D1263" t="s">
        <v>26</v>
      </c>
      <c r="E1263" t="s">
        <v>64</v>
      </c>
      <c r="F1263">
        <v>179</v>
      </c>
      <c r="G1263" t="s">
        <v>65</v>
      </c>
      <c r="H1263" t="s">
        <v>66</v>
      </c>
      <c r="I1263" t="s">
        <v>30</v>
      </c>
      <c r="J1263" t="s">
        <v>26</v>
      </c>
      <c r="K1263" t="s">
        <v>67</v>
      </c>
      <c r="L1263" t="s">
        <v>2529</v>
      </c>
      <c r="M1263">
        <v>5000</v>
      </c>
      <c r="N1263">
        <v>147</v>
      </c>
      <c r="O1263">
        <v>5039042</v>
      </c>
      <c r="P1263">
        <v>4551</v>
      </c>
      <c r="Q1263" t="s">
        <v>461</v>
      </c>
      <c r="R1263">
        <v>730.07</v>
      </c>
      <c r="S1263">
        <v>730.07</v>
      </c>
      <c r="T1263">
        <v>0</v>
      </c>
      <c r="U1263" t="s">
        <v>34</v>
      </c>
      <c r="V1263" s="1">
        <v>46119</v>
      </c>
      <c r="W1263" s="1">
        <v>46119</v>
      </c>
    </row>
    <row r="1264" spans="1:24" x14ac:dyDescent="0.25">
      <c r="A1264">
        <f t="shared" ca="1" si="98"/>
        <v>0</v>
      </c>
      <c r="C1264">
        <f t="shared" ca="1" si="99"/>
        <v>0</v>
      </c>
      <c r="D1264" t="s">
        <v>203</v>
      </c>
      <c r="E1264" t="s">
        <v>64</v>
      </c>
      <c r="F1264">
        <v>103</v>
      </c>
      <c r="G1264" t="s">
        <v>588</v>
      </c>
      <c r="H1264" t="s">
        <v>589</v>
      </c>
      <c r="I1264" t="s">
        <v>44</v>
      </c>
      <c r="J1264" t="s">
        <v>203</v>
      </c>
      <c r="K1264" t="s">
        <v>67</v>
      </c>
      <c r="L1264" t="s">
        <v>2530</v>
      </c>
      <c r="M1264">
        <v>12000</v>
      </c>
      <c r="N1264">
        <v>131</v>
      </c>
      <c r="O1264">
        <v>5087176</v>
      </c>
      <c r="P1264">
        <v>1049</v>
      </c>
      <c r="Q1264" t="s">
        <v>1712</v>
      </c>
      <c r="R1264">
        <v>3197.71</v>
      </c>
      <c r="S1264">
        <v>3197.71</v>
      </c>
      <c r="T1264">
        <v>0</v>
      </c>
      <c r="U1264" t="s">
        <v>34</v>
      </c>
      <c r="V1264" s="1">
        <v>46196</v>
      </c>
      <c r="W1264" s="1">
        <v>46197</v>
      </c>
      <c r="X1264" t="s">
        <v>2531</v>
      </c>
    </row>
    <row r="1265" spans="1:26" x14ac:dyDescent="0.25">
      <c r="A1265">
        <f t="shared" ca="1" si="98"/>
        <v>0</v>
      </c>
      <c r="C1265">
        <f t="shared" ca="1" si="99"/>
        <v>0</v>
      </c>
      <c r="D1265" t="s">
        <v>88</v>
      </c>
      <c r="E1265" t="s">
        <v>184</v>
      </c>
      <c r="F1265">
        <v>9019</v>
      </c>
      <c r="G1265" t="s">
        <v>334</v>
      </c>
      <c r="H1265" t="s">
        <v>2532</v>
      </c>
      <c r="I1265" t="s">
        <v>30</v>
      </c>
      <c r="J1265" t="s">
        <v>88</v>
      </c>
      <c r="K1265" t="s">
        <v>188</v>
      </c>
      <c r="L1265" t="s">
        <v>2533</v>
      </c>
      <c r="O1265">
        <v>5099693</v>
      </c>
      <c r="P1265">
        <v>517</v>
      </c>
      <c r="Q1265" t="s">
        <v>1253</v>
      </c>
      <c r="R1265">
        <v>2504.6999999999998</v>
      </c>
      <c r="S1265">
        <v>2504.6999999999998</v>
      </c>
      <c r="T1265">
        <v>0</v>
      </c>
      <c r="U1265" t="s">
        <v>34</v>
      </c>
      <c r="V1265" s="1">
        <v>46231</v>
      </c>
      <c r="W1265" s="1">
        <v>46231</v>
      </c>
    </row>
    <row r="1266" spans="1:26" x14ac:dyDescent="0.25">
      <c r="A1266">
        <f t="shared" ca="1" si="98"/>
        <v>0</v>
      </c>
      <c r="C1266">
        <f t="shared" ca="1" si="99"/>
        <v>0</v>
      </c>
      <c r="D1266" t="s">
        <v>35</v>
      </c>
      <c r="E1266" t="s">
        <v>49</v>
      </c>
      <c r="F1266">
        <v>1800</v>
      </c>
      <c r="G1266" t="s">
        <v>231</v>
      </c>
      <c r="H1266" t="s">
        <v>2534</v>
      </c>
      <c r="I1266" t="s">
        <v>30</v>
      </c>
      <c r="J1266" t="s">
        <v>35</v>
      </c>
      <c r="K1266" t="s">
        <v>326</v>
      </c>
      <c r="L1266" t="s">
        <v>2535</v>
      </c>
      <c r="O1266">
        <v>5037629</v>
      </c>
      <c r="P1266">
        <v>24265</v>
      </c>
      <c r="Q1266" t="s">
        <v>328</v>
      </c>
      <c r="R1266">
        <v>3252.84</v>
      </c>
      <c r="S1266">
        <v>3252.84</v>
      </c>
      <c r="T1266">
        <v>0</v>
      </c>
      <c r="U1266" t="s">
        <v>34</v>
      </c>
      <c r="V1266" s="1">
        <v>46090</v>
      </c>
      <c r="W1266" s="1">
        <v>46108</v>
      </c>
    </row>
    <row r="1267" spans="1:26" x14ac:dyDescent="0.25">
      <c r="A1267">
        <f t="shared" ca="1" si="98"/>
        <v>0</v>
      </c>
      <c r="C1267">
        <f t="shared" ca="1" si="99"/>
        <v>0</v>
      </c>
      <c r="D1267" t="s">
        <v>35</v>
      </c>
      <c r="E1267" t="s">
        <v>237</v>
      </c>
      <c r="F1267">
        <v>81</v>
      </c>
      <c r="G1267" t="s">
        <v>258</v>
      </c>
      <c r="H1267" t="s">
        <v>2536</v>
      </c>
      <c r="I1267" t="s">
        <v>30</v>
      </c>
      <c r="J1267" t="s">
        <v>35</v>
      </c>
      <c r="K1267" t="s">
        <v>240</v>
      </c>
      <c r="L1267" t="s">
        <v>2537</v>
      </c>
      <c r="O1267">
        <v>5047122</v>
      </c>
      <c r="P1267">
        <v>911</v>
      </c>
      <c r="Q1267" t="s">
        <v>621</v>
      </c>
      <c r="R1267">
        <v>1363.08</v>
      </c>
      <c r="S1267">
        <v>1363.08</v>
      </c>
      <c r="T1267">
        <v>0</v>
      </c>
      <c r="U1267" t="s">
        <v>34</v>
      </c>
    </row>
    <row r="1268" spans="1:26" x14ac:dyDescent="0.25">
      <c r="A1268">
        <f t="shared" ca="1" si="98"/>
        <v>0</v>
      </c>
      <c r="C1268">
        <f t="shared" ca="1" si="99"/>
        <v>0</v>
      </c>
      <c r="D1268" t="s">
        <v>41</v>
      </c>
      <c r="E1268" t="s">
        <v>58</v>
      </c>
      <c r="F1268">
        <v>273</v>
      </c>
      <c r="G1268" t="s">
        <v>293</v>
      </c>
      <c r="H1268" t="s">
        <v>1870</v>
      </c>
      <c r="I1268" t="s">
        <v>44</v>
      </c>
      <c r="J1268" t="s">
        <v>41</v>
      </c>
      <c r="K1268" t="s">
        <v>61</v>
      </c>
      <c r="L1268" t="s">
        <v>2538</v>
      </c>
      <c r="M1268">
        <v>25500</v>
      </c>
      <c r="N1268">
        <v>200</v>
      </c>
      <c r="O1268">
        <v>5050775</v>
      </c>
      <c r="P1268">
        <v>4146</v>
      </c>
      <c r="Q1268" t="s">
        <v>91</v>
      </c>
    </row>
    <row r="1269" spans="1:26" x14ac:dyDescent="0.25">
      <c r="A1269">
        <f t="shared" ca="1" si="98"/>
        <v>0</v>
      </c>
      <c r="C1269">
        <f t="shared" ca="1" si="99"/>
        <v>0</v>
      </c>
      <c r="D1269" t="s">
        <v>26</v>
      </c>
      <c r="E1269" t="s">
        <v>58</v>
      </c>
      <c r="F1269">
        <v>932</v>
      </c>
      <c r="G1269" t="s">
        <v>293</v>
      </c>
      <c r="H1269" t="s">
        <v>2539</v>
      </c>
      <c r="I1269" t="s">
        <v>30</v>
      </c>
      <c r="J1269" t="s">
        <v>26</v>
      </c>
      <c r="K1269" t="s">
        <v>61</v>
      </c>
      <c r="L1269" t="s">
        <v>2540</v>
      </c>
      <c r="O1269">
        <v>5050851</v>
      </c>
      <c r="P1269">
        <v>7668</v>
      </c>
      <c r="Q1269" t="s">
        <v>1235</v>
      </c>
      <c r="R1269">
        <v>2359.6799999999998</v>
      </c>
      <c r="S1269">
        <v>2359.6799999999998</v>
      </c>
      <c r="T1269">
        <v>0</v>
      </c>
      <c r="U1269" t="s">
        <v>34</v>
      </c>
      <c r="V1269" s="1">
        <v>46251</v>
      </c>
      <c r="W1269" s="1">
        <v>46266</v>
      </c>
      <c r="X1269" t="s">
        <v>593</v>
      </c>
    </row>
    <row r="1270" spans="1:26" x14ac:dyDescent="0.25">
      <c r="A1270">
        <f t="shared" ca="1" si="98"/>
        <v>0</v>
      </c>
      <c r="C1270">
        <f t="shared" ca="1" si="99"/>
        <v>0</v>
      </c>
      <c r="D1270" t="s">
        <v>236</v>
      </c>
      <c r="E1270" t="s">
        <v>445</v>
      </c>
      <c r="F1270">
        <v>2365</v>
      </c>
      <c r="G1270" t="s">
        <v>525</v>
      </c>
      <c r="H1270" t="s">
        <v>526</v>
      </c>
      <c r="I1270" t="s">
        <v>44</v>
      </c>
      <c r="J1270" t="s">
        <v>236</v>
      </c>
      <c r="K1270" t="s">
        <v>448</v>
      </c>
      <c r="L1270" t="s">
        <v>2541</v>
      </c>
      <c r="O1270">
        <v>5064551</v>
      </c>
      <c r="P1270">
        <v>24023</v>
      </c>
      <c r="Q1270" t="s">
        <v>599</v>
      </c>
      <c r="R1270">
        <v>1577.85</v>
      </c>
      <c r="S1270">
        <v>1577.85</v>
      </c>
      <c r="T1270">
        <v>0</v>
      </c>
      <c r="U1270" t="s">
        <v>34</v>
      </c>
    </row>
    <row r="1271" spans="1:26" x14ac:dyDescent="0.25">
      <c r="A1271">
        <f t="shared" ca="1" si="98"/>
        <v>0</v>
      </c>
      <c r="C1271">
        <f t="shared" ca="1" si="99"/>
        <v>0</v>
      </c>
      <c r="D1271" t="s">
        <v>74</v>
      </c>
      <c r="E1271" t="s">
        <v>58</v>
      </c>
      <c r="F1271">
        <v>1411</v>
      </c>
      <c r="G1271" t="s">
        <v>747</v>
      </c>
      <c r="H1271" t="s">
        <v>1249</v>
      </c>
      <c r="I1271" t="s">
        <v>30</v>
      </c>
      <c r="J1271" t="s">
        <v>74</v>
      </c>
      <c r="K1271" t="s">
        <v>61</v>
      </c>
      <c r="L1271" t="s">
        <v>2542</v>
      </c>
      <c r="M1271">
        <v>35000</v>
      </c>
      <c r="N1271">
        <v>263</v>
      </c>
      <c r="O1271">
        <v>5078045</v>
      </c>
      <c r="P1271">
        <v>1</v>
      </c>
      <c r="Q1271" t="s">
        <v>636</v>
      </c>
      <c r="R1271">
        <v>41162.019999999997</v>
      </c>
      <c r="S1271">
        <v>41162.019999999997</v>
      </c>
      <c r="T1271">
        <v>0</v>
      </c>
      <c r="U1271" t="s">
        <v>34</v>
      </c>
      <c r="V1271" s="1">
        <v>46188</v>
      </c>
      <c r="W1271" s="1">
        <v>46234</v>
      </c>
      <c r="Y1271" t="s">
        <v>104</v>
      </c>
      <c r="Z1271" s="1">
        <v>46181</v>
      </c>
    </row>
    <row r="1272" spans="1:26" x14ac:dyDescent="0.25">
      <c r="A1272">
        <f t="shared" ca="1" si="98"/>
        <v>0</v>
      </c>
      <c r="C1272">
        <f t="shared" ca="1" si="99"/>
        <v>0</v>
      </c>
      <c r="D1272" t="s">
        <v>41</v>
      </c>
      <c r="E1272" t="s">
        <v>27</v>
      </c>
      <c r="F1272">
        <v>831</v>
      </c>
      <c r="G1272" t="s">
        <v>42</v>
      </c>
      <c r="H1272" t="s">
        <v>2229</v>
      </c>
      <c r="I1272" t="s">
        <v>44</v>
      </c>
      <c r="J1272" t="s">
        <v>41</v>
      </c>
      <c r="K1272" t="s">
        <v>31</v>
      </c>
      <c r="L1272" t="s">
        <v>2543</v>
      </c>
      <c r="M1272">
        <v>40000</v>
      </c>
      <c r="N1272">
        <v>366</v>
      </c>
      <c r="O1272">
        <v>5064943</v>
      </c>
      <c r="P1272">
        <v>4921</v>
      </c>
      <c r="Q1272" t="s">
        <v>94</v>
      </c>
      <c r="R1272">
        <v>19070.55</v>
      </c>
      <c r="T1272">
        <v>19070.55</v>
      </c>
      <c r="U1272" t="s">
        <v>40</v>
      </c>
      <c r="V1272" s="1">
        <v>46188</v>
      </c>
      <c r="W1272" s="1">
        <v>46218</v>
      </c>
      <c r="Y1272" t="s">
        <v>104</v>
      </c>
      <c r="Z1272" s="1">
        <v>46238</v>
      </c>
    </row>
    <row r="1273" spans="1:26" x14ac:dyDescent="0.25">
      <c r="A1273">
        <f t="shared" ca="1" si="98"/>
        <v>0</v>
      </c>
      <c r="C1273">
        <f t="shared" ca="1" si="99"/>
        <v>0</v>
      </c>
      <c r="D1273" t="s">
        <v>88</v>
      </c>
      <c r="E1273" t="s">
        <v>445</v>
      </c>
      <c r="F1273">
        <v>2057</v>
      </c>
      <c r="G1273" t="s">
        <v>521</v>
      </c>
      <c r="H1273" t="s">
        <v>2544</v>
      </c>
      <c r="I1273" t="s">
        <v>30</v>
      </c>
      <c r="J1273" t="s">
        <v>88</v>
      </c>
      <c r="K1273" t="s">
        <v>448</v>
      </c>
      <c r="L1273" t="s">
        <v>2545</v>
      </c>
    </row>
    <row r="1274" spans="1:26" x14ac:dyDescent="0.25">
      <c r="A1274">
        <f t="shared" ca="1" si="98"/>
        <v>0</v>
      </c>
      <c r="C1274">
        <f t="shared" ca="1" si="99"/>
        <v>0</v>
      </c>
      <c r="D1274" t="s">
        <v>355</v>
      </c>
      <c r="E1274" t="s">
        <v>58</v>
      </c>
      <c r="F1274">
        <v>165</v>
      </c>
      <c r="G1274" t="s">
        <v>59</v>
      </c>
      <c r="H1274" t="s">
        <v>1710</v>
      </c>
      <c r="I1274" t="s">
        <v>30</v>
      </c>
      <c r="J1274" t="s">
        <v>355</v>
      </c>
      <c r="K1274" t="s">
        <v>61</v>
      </c>
      <c r="L1274" t="s">
        <v>2546</v>
      </c>
      <c r="O1274">
        <v>5016056</v>
      </c>
      <c r="P1274">
        <v>8324</v>
      </c>
      <c r="Q1274" t="s">
        <v>2547</v>
      </c>
      <c r="R1274">
        <v>11580</v>
      </c>
      <c r="S1274">
        <v>9552</v>
      </c>
      <c r="T1274">
        <v>2028</v>
      </c>
      <c r="U1274" t="s">
        <v>40</v>
      </c>
      <c r="Y1274" t="s">
        <v>104</v>
      </c>
      <c r="Z1274" s="1">
        <v>46233</v>
      </c>
    </row>
    <row r="1275" spans="1:26" x14ac:dyDescent="0.25">
      <c r="A1275">
        <f t="shared" ca="1" si="98"/>
        <v>0</v>
      </c>
      <c r="C1275">
        <f t="shared" ca="1" si="99"/>
        <v>0</v>
      </c>
      <c r="D1275" t="s">
        <v>95</v>
      </c>
      <c r="E1275" t="s">
        <v>58</v>
      </c>
      <c r="F1275">
        <v>165</v>
      </c>
      <c r="G1275" t="s">
        <v>59</v>
      </c>
      <c r="H1275" t="s">
        <v>1710</v>
      </c>
      <c r="I1275" t="s">
        <v>30</v>
      </c>
      <c r="J1275" t="s">
        <v>95</v>
      </c>
      <c r="K1275" t="s">
        <v>61</v>
      </c>
      <c r="L1275" t="s">
        <v>2548</v>
      </c>
      <c r="O1275">
        <v>5041904</v>
      </c>
      <c r="P1275">
        <v>1049</v>
      </c>
      <c r="Q1275" t="s">
        <v>1712</v>
      </c>
      <c r="R1275">
        <v>17123.34</v>
      </c>
      <c r="S1275">
        <v>17123.34</v>
      </c>
      <c r="T1275">
        <v>0</v>
      </c>
      <c r="U1275" t="s">
        <v>34</v>
      </c>
    </row>
    <row r="1276" spans="1:26" x14ac:dyDescent="0.25">
      <c r="A1276">
        <f t="shared" ca="1" si="98"/>
        <v>0</v>
      </c>
      <c r="C1276">
        <f t="shared" ca="1" si="99"/>
        <v>0</v>
      </c>
      <c r="D1276" t="s">
        <v>41</v>
      </c>
      <c r="E1276" t="s">
        <v>27</v>
      </c>
      <c r="F1276">
        <v>747</v>
      </c>
      <c r="G1276" t="s">
        <v>85</v>
      </c>
      <c r="H1276" t="s">
        <v>2220</v>
      </c>
      <c r="I1276" t="s">
        <v>44</v>
      </c>
      <c r="J1276" t="s">
        <v>41</v>
      </c>
      <c r="K1276" t="s">
        <v>31</v>
      </c>
      <c r="L1276" t="s">
        <v>2549</v>
      </c>
      <c r="M1276">
        <v>7600</v>
      </c>
      <c r="N1276">
        <v>361</v>
      </c>
      <c r="O1276">
        <v>5104207</v>
      </c>
      <c r="P1276">
        <v>4921</v>
      </c>
      <c r="Q1276" t="s">
        <v>94</v>
      </c>
      <c r="R1276">
        <v>8609.34</v>
      </c>
      <c r="T1276">
        <v>8609.34</v>
      </c>
      <c r="U1276" t="s">
        <v>40</v>
      </c>
      <c r="V1276" s="1">
        <v>46249</v>
      </c>
      <c r="W1276" s="1">
        <v>46280</v>
      </c>
    </row>
    <row r="1277" spans="1:26" x14ac:dyDescent="0.25">
      <c r="A1277">
        <f t="shared" ca="1" si="98"/>
        <v>0</v>
      </c>
      <c r="C1277">
        <f t="shared" ca="1" si="99"/>
        <v>0</v>
      </c>
      <c r="D1277" t="s">
        <v>285</v>
      </c>
      <c r="E1277" t="s">
        <v>250</v>
      </c>
      <c r="F1277">
        <v>1909</v>
      </c>
      <c r="G1277" t="s">
        <v>251</v>
      </c>
      <c r="H1277" t="s">
        <v>2550</v>
      </c>
      <c r="I1277" t="s">
        <v>187</v>
      </c>
      <c r="J1277" t="s">
        <v>285</v>
      </c>
      <c r="K1277" t="s">
        <v>253</v>
      </c>
      <c r="L1277" t="s">
        <v>2551</v>
      </c>
      <c r="O1277">
        <v>5122871</v>
      </c>
      <c r="P1277">
        <v>4856</v>
      </c>
      <c r="Q1277" t="s">
        <v>1092</v>
      </c>
      <c r="R1277">
        <v>2886.4</v>
      </c>
      <c r="T1277">
        <v>2886.4</v>
      </c>
    </row>
    <row r="1278" spans="1:26" x14ac:dyDescent="0.25">
      <c r="A1278">
        <f t="shared" ca="1" si="98"/>
        <v>0</v>
      </c>
      <c r="C1278">
        <f t="shared" ca="1" si="99"/>
        <v>0</v>
      </c>
      <c r="D1278" t="s">
        <v>41</v>
      </c>
      <c r="E1278" t="s">
        <v>58</v>
      </c>
      <c r="F1278">
        <v>1307</v>
      </c>
      <c r="G1278" t="s">
        <v>213</v>
      </c>
      <c r="H1278" t="s">
        <v>214</v>
      </c>
      <c r="I1278" t="s">
        <v>44</v>
      </c>
      <c r="J1278" t="s">
        <v>41</v>
      </c>
      <c r="K1278" t="s">
        <v>215</v>
      </c>
      <c r="L1278" t="s">
        <v>2552</v>
      </c>
      <c r="M1278">
        <v>4000</v>
      </c>
      <c r="N1278">
        <v>227</v>
      </c>
      <c r="O1278">
        <v>5056115</v>
      </c>
      <c r="P1278">
        <v>8196</v>
      </c>
      <c r="Q1278" t="s">
        <v>217</v>
      </c>
      <c r="R1278">
        <v>2414.2399999999998</v>
      </c>
      <c r="S1278">
        <v>2414.2399999999998</v>
      </c>
      <c r="T1278">
        <v>0</v>
      </c>
      <c r="U1278" t="s">
        <v>34</v>
      </c>
      <c r="V1278" s="1">
        <v>46139</v>
      </c>
      <c r="W1278" s="1">
        <v>46155</v>
      </c>
      <c r="X1278" t="s">
        <v>2553</v>
      </c>
    </row>
    <row r="1279" spans="1:26" x14ac:dyDescent="0.25">
      <c r="A1279" t="s">
        <v>2554</v>
      </c>
    </row>
    <row r="1280" spans="1:26" x14ac:dyDescent="0.25">
      <c r="A1280">
        <f t="shared" ref="A1280:A1311" ca="1" si="100">+ Cmde</f>
        <v>0</v>
      </c>
      <c r="C1280">
        <f t="shared" ref="C1280:C1311" ca="1" si="101">+ Devis</f>
        <v>0</v>
      </c>
      <c r="D1280" t="s">
        <v>285</v>
      </c>
      <c r="E1280" t="s">
        <v>445</v>
      </c>
      <c r="F1280">
        <v>1718</v>
      </c>
      <c r="G1280" t="s">
        <v>508</v>
      </c>
      <c r="H1280" t="s">
        <v>509</v>
      </c>
      <c r="I1280" t="s">
        <v>187</v>
      </c>
      <c r="J1280" t="s">
        <v>285</v>
      </c>
      <c r="K1280" t="s">
        <v>448</v>
      </c>
      <c r="L1280" t="s">
        <v>2555</v>
      </c>
      <c r="M1280">
        <v>5000</v>
      </c>
      <c r="N1280">
        <v>528</v>
      </c>
      <c r="O1280">
        <v>5071408</v>
      </c>
      <c r="P1280">
        <v>22323</v>
      </c>
      <c r="Q1280" t="s">
        <v>2556</v>
      </c>
      <c r="R1280">
        <v>2118.12</v>
      </c>
      <c r="T1280">
        <v>2118.12</v>
      </c>
    </row>
    <row r="1281" spans="1:23" x14ac:dyDescent="0.25">
      <c r="A1281">
        <f t="shared" ca="1" si="100"/>
        <v>0</v>
      </c>
      <c r="C1281">
        <f t="shared" ca="1" si="101"/>
        <v>0</v>
      </c>
      <c r="D1281" t="s">
        <v>41</v>
      </c>
      <c r="E1281" t="s">
        <v>27</v>
      </c>
      <c r="F1281">
        <v>783</v>
      </c>
      <c r="G1281" t="s">
        <v>36</v>
      </c>
      <c r="H1281" t="s">
        <v>2557</v>
      </c>
      <c r="I1281" t="s">
        <v>44</v>
      </c>
      <c r="J1281" t="s">
        <v>41</v>
      </c>
      <c r="K1281" t="s">
        <v>31</v>
      </c>
      <c r="L1281" t="s">
        <v>2558</v>
      </c>
      <c r="O1281">
        <v>5116723</v>
      </c>
      <c r="P1281">
        <v>4146</v>
      </c>
      <c r="Q1281" t="s">
        <v>91</v>
      </c>
      <c r="R1281">
        <v>1496</v>
      </c>
      <c r="S1281">
        <v>1496</v>
      </c>
      <c r="T1281">
        <v>0</v>
      </c>
    </row>
    <row r="1282" spans="1:23" x14ac:dyDescent="0.25">
      <c r="A1282">
        <f t="shared" ca="1" si="100"/>
        <v>0</v>
      </c>
      <c r="C1282">
        <f t="shared" ca="1" si="101"/>
        <v>0</v>
      </c>
      <c r="D1282" t="s">
        <v>41</v>
      </c>
      <c r="E1282" t="s">
        <v>64</v>
      </c>
      <c r="F1282">
        <v>121</v>
      </c>
      <c r="G1282" t="s">
        <v>311</v>
      </c>
      <c r="H1282" t="s">
        <v>317</v>
      </c>
      <c r="I1282" t="s">
        <v>44</v>
      </c>
      <c r="J1282" t="s">
        <v>41</v>
      </c>
      <c r="K1282" t="s">
        <v>67</v>
      </c>
      <c r="L1282" t="s">
        <v>2559</v>
      </c>
      <c r="M1282">
        <v>18000</v>
      </c>
      <c r="N1282">
        <v>110</v>
      </c>
      <c r="O1282">
        <v>5117807</v>
      </c>
      <c r="P1282">
        <v>4146</v>
      </c>
      <c r="Q1282" t="s">
        <v>91</v>
      </c>
      <c r="R1282">
        <v>1909.6</v>
      </c>
      <c r="T1282">
        <v>1909.6</v>
      </c>
    </row>
    <row r="1283" spans="1:23" x14ac:dyDescent="0.25">
      <c r="A1283">
        <f t="shared" ca="1" si="100"/>
        <v>0</v>
      </c>
      <c r="C1283">
        <f t="shared" ca="1" si="101"/>
        <v>0</v>
      </c>
      <c r="D1283" t="s">
        <v>95</v>
      </c>
      <c r="E1283" t="s">
        <v>27</v>
      </c>
      <c r="F1283">
        <v>45</v>
      </c>
      <c r="G1283" t="s">
        <v>36</v>
      </c>
      <c r="H1283" t="s">
        <v>2560</v>
      </c>
      <c r="I1283" t="s">
        <v>30</v>
      </c>
      <c r="J1283" t="s">
        <v>95</v>
      </c>
      <c r="K1283" t="s">
        <v>31</v>
      </c>
      <c r="L1283" t="s">
        <v>1156</v>
      </c>
      <c r="M1283">
        <v>12000</v>
      </c>
      <c r="N1283">
        <v>372</v>
      </c>
      <c r="O1283">
        <v>5121813</v>
      </c>
      <c r="P1283">
        <v>6632</v>
      </c>
      <c r="Q1283" t="s">
        <v>1041</v>
      </c>
      <c r="R1283">
        <v>3004.68</v>
      </c>
      <c r="T1283">
        <v>3004.68</v>
      </c>
      <c r="U1283" t="s">
        <v>40</v>
      </c>
      <c r="V1283" s="1">
        <v>46280</v>
      </c>
      <c r="W1283" s="1">
        <v>46295</v>
      </c>
    </row>
    <row r="1284" spans="1:23" x14ac:dyDescent="0.25">
      <c r="A1284">
        <f t="shared" ca="1" si="100"/>
        <v>0</v>
      </c>
      <c r="C1284">
        <f t="shared" ca="1" si="101"/>
        <v>0</v>
      </c>
      <c r="D1284" t="s">
        <v>41</v>
      </c>
      <c r="E1284" t="s">
        <v>900</v>
      </c>
      <c r="F1284">
        <v>1652</v>
      </c>
      <c r="G1284" t="s">
        <v>1282</v>
      </c>
      <c r="H1284" t="s">
        <v>2561</v>
      </c>
      <c r="I1284" t="s">
        <v>44</v>
      </c>
      <c r="J1284" t="s">
        <v>41</v>
      </c>
      <c r="K1284" t="s">
        <v>326</v>
      </c>
      <c r="L1284" t="s">
        <v>2562</v>
      </c>
      <c r="O1284">
        <v>5058331</v>
      </c>
      <c r="P1284">
        <v>7725</v>
      </c>
      <c r="Q1284" t="s">
        <v>2106</v>
      </c>
      <c r="R1284">
        <v>2018.7</v>
      </c>
      <c r="S1284">
        <v>2018.7</v>
      </c>
      <c r="T1284">
        <v>0</v>
      </c>
      <c r="U1284" t="s">
        <v>34</v>
      </c>
      <c r="V1284" s="1">
        <v>46132</v>
      </c>
      <c r="W1284" s="1">
        <v>46171</v>
      </c>
    </row>
    <row r="1285" spans="1:23" x14ac:dyDescent="0.25">
      <c r="A1285">
        <f t="shared" ca="1" si="100"/>
        <v>0</v>
      </c>
      <c r="C1285">
        <f t="shared" ca="1" si="101"/>
        <v>0</v>
      </c>
      <c r="D1285" t="s">
        <v>203</v>
      </c>
      <c r="E1285" t="s">
        <v>58</v>
      </c>
      <c r="F1285">
        <v>133</v>
      </c>
      <c r="G1285" t="s">
        <v>426</v>
      </c>
      <c r="H1285" t="s">
        <v>2563</v>
      </c>
      <c r="I1285" t="s">
        <v>44</v>
      </c>
      <c r="J1285" t="s">
        <v>203</v>
      </c>
      <c r="K1285" t="s">
        <v>215</v>
      </c>
      <c r="L1285" t="s">
        <v>2564</v>
      </c>
      <c r="M1285">
        <v>37000</v>
      </c>
      <c r="N1285">
        <v>194</v>
      </c>
      <c r="O1285">
        <v>5092876</v>
      </c>
      <c r="P1285">
        <v>31744</v>
      </c>
      <c r="Q1285" t="s">
        <v>2565</v>
      </c>
      <c r="R1285">
        <v>5270</v>
      </c>
      <c r="S1285">
        <v>5270</v>
      </c>
      <c r="T1285">
        <v>0</v>
      </c>
      <c r="U1285" t="s">
        <v>34</v>
      </c>
    </row>
    <row r="1286" spans="1:23" x14ac:dyDescent="0.25">
      <c r="A1286">
        <f t="shared" ca="1" si="100"/>
        <v>0</v>
      </c>
      <c r="C1286">
        <f t="shared" ca="1" si="101"/>
        <v>0</v>
      </c>
      <c r="D1286" t="s">
        <v>26</v>
      </c>
      <c r="E1286" t="s">
        <v>58</v>
      </c>
      <c r="F1286">
        <v>1382</v>
      </c>
      <c r="G1286" t="s">
        <v>747</v>
      </c>
      <c r="H1286" t="s">
        <v>1937</v>
      </c>
      <c r="I1286" t="s">
        <v>30</v>
      </c>
      <c r="J1286" t="s">
        <v>26</v>
      </c>
      <c r="K1286" t="s">
        <v>61</v>
      </c>
      <c r="L1286" t="s">
        <v>2566</v>
      </c>
      <c r="M1286">
        <v>20000</v>
      </c>
      <c r="N1286">
        <v>272</v>
      </c>
      <c r="O1286">
        <v>5094731</v>
      </c>
      <c r="P1286">
        <v>153</v>
      </c>
      <c r="Q1286" t="s">
        <v>98</v>
      </c>
      <c r="R1286">
        <v>1327.41</v>
      </c>
      <c r="S1286">
        <v>1327.41</v>
      </c>
      <c r="T1286">
        <v>0</v>
      </c>
      <c r="U1286" t="s">
        <v>34</v>
      </c>
    </row>
    <row r="1287" spans="1:23" x14ac:dyDescent="0.25">
      <c r="A1287">
        <f t="shared" ca="1" si="100"/>
        <v>0</v>
      </c>
      <c r="C1287">
        <f t="shared" ca="1" si="101"/>
        <v>0</v>
      </c>
      <c r="D1287" t="s">
        <v>368</v>
      </c>
      <c r="E1287" t="s">
        <v>49</v>
      </c>
      <c r="F1287">
        <v>1661</v>
      </c>
      <c r="G1287" t="s">
        <v>263</v>
      </c>
      <c r="H1287" t="s">
        <v>2567</v>
      </c>
      <c r="I1287" t="s">
        <v>187</v>
      </c>
      <c r="J1287" t="s">
        <v>368</v>
      </c>
      <c r="K1287" t="s">
        <v>52</v>
      </c>
      <c r="L1287" t="s">
        <v>2568</v>
      </c>
      <c r="O1287">
        <v>5100138</v>
      </c>
      <c r="P1287">
        <v>17125</v>
      </c>
      <c r="Q1287" t="s">
        <v>721</v>
      </c>
      <c r="R1287">
        <v>1358.17</v>
      </c>
      <c r="T1287">
        <v>1358.17</v>
      </c>
    </row>
    <row r="1288" spans="1:23" x14ac:dyDescent="0.25">
      <c r="A1288">
        <f t="shared" ca="1" si="100"/>
        <v>0</v>
      </c>
      <c r="C1288">
        <f t="shared" ca="1" si="101"/>
        <v>0</v>
      </c>
      <c r="D1288" t="s">
        <v>236</v>
      </c>
      <c r="E1288" t="s">
        <v>250</v>
      </c>
      <c r="F1288">
        <v>1911</v>
      </c>
      <c r="G1288" t="s">
        <v>996</v>
      </c>
      <c r="H1288" t="s">
        <v>1003</v>
      </c>
      <c r="I1288" t="s">
        <v>44</v>
      </c>
      <c r="J1288" t="s">
        <v>236</v>
      </c>
      <c r="K1288" t="s">
        <v>253</v>
      </c>
      <c r="L1288" t="s">
        <v>1328</v>
      </c>
      <c r="M1288">
        <v>11000</v>
      </c>
      <c r="N1288">
        <v>717</v>
      </c>
      <c r="O1288">
        <v>5112273</v>
      </c>
      <c r="P1288">
        <v>6067</v>
      </c>
      <c r="Q1288" t="s">
        <v>1005</v>
      </c>
      <c r="R1288">
        <v>6648.65</v>
      </c>
      <c r="T1288">
        <v>6648.65</v>
      </c>
    </row>
    <row r="1289" spans="1:23" x14ac:dyDescent="0.25">
      <c r="A1289">
        <f t="shared" ca="1" si="100"/>
        <v>0</v>
      </c>
      <c r="C1289">
        <f t="shared" ca="1" si="101"/>
        <v>0</v>
      </c>
      <c r="D1289" t="s">
        <v>221</v>
      </c>
      <c r="E1289" t="s">
        <v>250</v>
      </c>
      <c r="F1289">
        <v>1909</v>
      </c>
      <c r="G1289" t="s">
        <v>251</v>
      </c>
      <c r="H1289" t="s">
        <v>991</v>
      </c>
      <c r="I1289" t="s">
        <v>187</v>
      </c>
      <c r="J1289" t="s">
        <v>221</v>
      </c>
      <c r="K1289" t="s">
        <v>253</v>
      </c>
      <c r="L1289" t="s">
        <v>2569</v>
      </c>
      <c r="M1289">
        <v>3900</v>
      </c>
      <c r="N1289">
        <v>711</v>
      </c>
      <c r="O1289">
        <v>5112348</v>
      </c>
      <c r="P1289">
        <v>7941</v>
      </c>
      <c r="Q1289" t="s">
        <v>994</v>
      </c>
      <c r="R1289">
        <v>3669.6</v>
      </c>
      <c r="T1289">
        <v>3669.6</v>
      </c>
    </row>
    <row r="1290" spans="1:23" x14ac:dyDescent="0.25">
      <c r="A1290">
        <f t="shared" ca="1" si="100"/>
        <v>0</v>
      </c>
      <c r="C1290">
        <f t="shared" ca="1" si="101"/>
        <v>0</v>
      </c>
      <c r="D1290" t="s">
        <v>74</v>
      </c>
      <c r="E1290" t="s">
        <v>27</v>
      </c>
      <c r="F1290">
        <v>210</v>
      </c>
      <c r="G1290" t="s">
        <v>28</v>
      </c>
      <c r="H1290" t="s">
        <v>275</v>
      </c>
      <c r="I1290" t="s">
        <v>30</v>
      </c>
      <c r="J1290" t="s">
        <v>74</v>
      </c>
      <c r="K1290" t="s">
        <v>31</v>
      </c>
      <c r="L1290" t="s">
        <v>2570</v>
      </c>
      <c r="M1290">
        <v>5000</v>
      </c>
      <c r="N1290">
        <v>438</v>
      </c>
      <c r="O1290">
        <v>5115100</v>
      </c>
      <c r="P1290">
        <v>25204</v>
      </c>
      <c r="Q1290" t="s">
        <v>46</v>
      </c>
      <c r="R1290">
        <v>4592.01</v>
      </c>
      <c r="S1290">
        <v>4592.01</v>
      </c>
      <c r="T1290">
        <v>0</v>
      </c>
      <c r="U1290" t="s">
        <v>34</v>
      </c>
      <c r="V1290" s="1">
        <v>46259</v>
      </c>
      <c r="W1290" s="1">
        <v>46264</v>
      </c>
    </row>
    <row r="1291" spans="1:23" x14ac:dyDescent="0.25">
      <c r="A1291">
        <f t="shared" ca="1" si="100"/>
        <v>0</v>
      </c>
      <c r="C1291">
        <f t="shared" ca="1" si="101"/>
        <v>0</v>
      </c>
      <c r="D1291" t="s">
        <v>95</v>
      </c>
      <c r="E1291" t="s">
        <v>27</v>
      </c>
      <c r="F1291">
        <v>45</v>
      </c>
      <c r="G1291" t="s">
        <v>36</v>
      </c>
      <c r="H1291" t="s">
        <v>2571</v>
      </c>
      <c r="I1291" t="s">
        <v>30</v>
      </c>
      <c r="J1291" t="s">
        <v>95</v>
      </c>
      <c r="K1291" t="s">
        <v>31</v>
      </c>
      <c r="L1291" t="s">
        <v>1156</v>
      </c>
      <c r="M1291">
        <v>12000</v>
      </c>
      <c r="N1291">
        <v>372</v>
      </c>
      <c r="O1291">
        <v>5115203</v>
      </c>
      <c r="P1291">
        <v>6455</v>
      </c>
      <c r="Q1291" t="s">
        <v>39</v>
      </c>
      <c r="R1291">
        <v>4503.2700000000004</v>
      </c>
      <c r="T1291">
        <v>4503.2700000000004</v>
      </c>
      <c r="U1291" t="s">
        <v>40</v>
      </c>
      <c r="V1291" s="1">
        <v>46280</v>
      </c>
      <c r="W1291" s="1">
        <v>46295</v>
      </c>
    </row>
    <row r="1292" spans="1:23" x14ac:dyDescent="0.25">
      <c r="A1292">
        <f t="shared" ca="1" si="100"/>
        <v>0</v>
      </c>
      <c r="C1292">
        <f t="shared" ca="1" si="101"/>
        <v>0</v>
      </c>
      <c r="D1292" t="s">
        <v>57</v>
      </c>
      <c r="E1292" t="s">
        <v>58</v>
      </c>
      <c r="F1292">
        <v>656</v>
      </c>
      <c r="G1292" t="s">
        <v>59</v>
      </c>
      <c r="H1292" t="s">
        <v>2572</v>
      </c>
      <c r="I1292" t="s">
        <v>44</v>
      </c>
      <c r="J1292" t="s">
        <v>57</v>
      </c>
      <c r="K1292" t="s">
        <v>61</v>
      </c>
      <c r="L1292" t="s">
        <v>2573</v>
      </c>
      <c r="O1292">
        <v>5120940</v>
      </c>
      <c r="P1292">
        <v>27164</v>
      </c>
      <c r="Q1292" t="s">
        <v>1434</v>
      </c>
      <c r="R1292">
        <v>10109.19</v>
      </c>
      <c r="T1292">
        <v>10109.19</v>
      </c>
    </row>
    <row r="1293" spans="1:23" x14ac:dyDescent="0.25">
      <c r="A1293">
        <f t="shared" ca="1" si="100"/>
        <v>0</v>
      </c>
      <c r="C1293">
        <f t="shared" ca="1" si="101"/>
        <v>0</v>
      </c>
      <c r="D1293" t="s">
        <v>41</v>
      </c>
      <c r="E1293" t="s">
        <v>58</v>
      </c>
      <c r="F1293">
        <v>1105</v>
      </c>
      <c r="G1293" t="s">
        <v>602</v>
      </c>
      <c r="H1293" t="s">
        <v>2574</v>
      </c>
      <c r="I1293" t="s">
        <v>44</v>
      </c>
      <c r="J1293" t="s">
        <v>41</v>
      </c>
      <c r="K1293" t="s">
        <v>61</v>
      </c>
      <c r="L1293" t="s">
        <v>2575</v>
      </c>
      <c r="M1293">
        <v>6000</v>
      </c>
      <c r="N1293">
        <v>213</v>
      </c>
      <c r="O1293">
        <v>5124560</v>
      </c>
      <c r="P1293">
        <v>4921</v>
      </c>
      <c r="Q1293" t="s">
        <v>94</v>
      </c>
      <c r="R1293">
        <v>8064.97</v>
      </c>
      <c r="T1293">
        <v>8064.97</v>
      </c>
    </row>
    <row r="1294" spans="1:23" x14ac:dyDescent="0.25">
      <c r="A1294">
        <f t="shared" ca="1" si="100"/>
        <v>0</v>
      </c>
      <c r="C1294">
        <f t="shared" ca="1" si="101"/>
        <v>0</v>
      </c>
      <c r="D1294" t="s">
        <v>41</v>
      </c>
      <c r="E1294" t="s">
        <v>58</v>
      </c>
      <c r="F1294">
        <v>945</v>
      </c>
      <c r="G1294" t="s">
        <v>1038</v>
      </c>
      <c r="H1294" t="s">
        <v>2576</v>
      </c>
      <c r="I1294" t="s">
        <v>44</v>
      </c>
      <c r="J1294" t="s">
        <v>41</v>
      </c>
      <c r="K1294" t="s">
        <v>61</v>
      </c>
      <c r="L1294" t="s">
        <v>2577</v>
      </c>
      <c r="O1294">
        <v>5124569</v>
      </c>
      <c r="P1294">
        <v>4921</v>
      </c>
      <c r="Q1294" t="s">
        <v>94</v>
      </c>
      <c r="R1294">
        <v>2729.12</v>
      </c>
      <c r="T1294">
        <v>2729.12</v>
      </c>
    </row>
    <row r="1295" spans="1:23" x14ac:dyDescent="0.25">
      <c r="A1295">
        <f t="shared" ca="1" si="100"/>
        <v>0</v>
      </c>
      <c r="C1295">
        <f t="shared" ca="1" si="101"/>
        <v>0</v>
      </c>
      <c r="D1295" t="s">
        <v>41</v>
      </c>
      <c r="E1295" t="s">
        <v>58</v>
      </c>
      <c r="F1295">
        <v>946</v>
      </c>
      <c r="G1295" t="s">
        <v>1038</v>
      </c>
      <c r="H1295" t="s">
        <v>2578</v>
      </c>
      <c r="I1295" t="s">
        <v>44</v>
      </c>
      <c r="J1295" t="s">
        <v>41</v>
      </c>
      <c r="K1295" t="s">
        <v>61</v>
      </c>
      <c r="L1295" t="s">
        <v>2577</v>
      </c>
      <c r="O1295">
        <v>5124575</v>
      </c>
      <c r="P1295">
        <v>4921</v>
      </c>
      <c r="Q1295" t="s">
        <v>94</v>
      </c>
      <c r="R1295">
        <v>5458.24</v>
      </c>
      <c r="T1295">
        <v>5458.24</v>
      </c>
    </row>
    <row r="1296" spans="1:23" x14ac:dyDescent="0.25">
      <c r="A1296">
        <f t="shared" ca="1" si="100"/>
        <v>0</v>
      </c>
      <c r="C1296">
        <f t="shared" ca="1" si="101"/>
        <v>0</v>
      </c>
      <c r="D1296" t="s">
        <v>41</v>
      </c>
      <c r="E1296" t="s">
        <v>58</v>
      </c>
      <c r="F1296">
        <v>656</v>
      </c>
      <c r="G1296" t="s">
        <v>59</v>
      </c>
      <c r="H1296" t="s">
        <v>2572</v>
      </c>
      <c r="I1296" t="s">
        <v>44</v>
      </c>
      <c r="J1296" t="s">
        <v>41</v>
      </c>
      <c r="K1296" t="s">
        <v>61</v>
      </c>
      <c r="L1296" t="s">
        <v>2577</v>
      </c>
      <c r="O1296">
        <v>5124588</v>
      </c>
      <c r="P1296">
        <v>4921</v>
      </c>
      <c r="Q1296" t="s">
        <v>94</v>
      </c>
      <c r="R1296">
        <v>1967.91</v>
      </c>
      <c r="T1296">
        <v>1967.91</v>
      </c>
    </row>
    <row r="1297" spans="1:24" x14ac:dyDescent="0.25">
      <c r="A1297">
        <f t="shared" ca="1" si="100"/>
        <v>0</v>
      </c>
      <c r="C1297">
        <f t="shared" ca="1" si="101"/>
        <v>0</v>
      </c>
      <c r="D1297" t="s">
        <v>41</v>
      </c>
      <c r="E1297" t="s">
        <v>58</v>
      </c>
      <c r="F1297">
        <v>655</v>
      </c>
      <c r="G1297" t="s">
        <v>59</v>
      </c>
      <c r="H1297" t="s">
        <v>1432</v>
      </c>
      <c r="I1297" t="s">
        <v>44</v>
      </c>
      <c r="J1297" t="s">
        <v>41</v>
      </c>
      <c r="K1297" t="s">
        <v>61</v>
      </c>
      <c r="L1297" t="s">
        <v>2577</v>
      </c>
      <c r="O1297">
        <v>5124591</v>
      </c>
      <c r="P1297">
        <v>4921</v>
      </c>
      <c r="Q1297" t="s">
        <v>94</v>
      </c>
      <c r="R1297">
        <v>2826.71</v>
      </c>
      <c r="T1297">
        <v>2826.71</v>
      </c>
    </row>
    <row r="1298" spans="1:24" x14ac:dyDescent="0.25">
      <c r="A1298">
        <f t="shared" ca="1" si="100"/>
        <v>0</v>
      </c>
      <c r="C1298">
        <f t="shared" ca="1" si="101"/>
        <v>0</v>
      </c>
      <c r="D1298" t="s">
        <v>35</v>
      </c>
      <c r="E1298" t="s">
        <v>245</v>
      </c>
      <c r="F1298">
        <v>1964</v>
      </c>
      <c r="G1298" t="s">
        <v>771</v>
      </c>
      <c r="H1298" t="s">
        <v>2579</v>
      </c>
      <c r="I1298" t="s">
        <v>30</v>
      </c>
      <c r="J1298" t="s">
        <v>35</v>
      </c>
      <c r="K1298" t="s">
        <v>188</v>
      </c>
      <c r="L1298" t="s">
        <v>2580</v>
      </c>
      <c r="O1298">
        <v>5028555</v>
      </c>
      <c r="P1298">
        <v>6969</v>
      </c>
      <c r="Q1298" t="s">
        <v>2581</v>
      </c>
      <c r="R1298">
        <v>2706.83</v>
      </c>
      <c r="S1298">
        <v>2706.83</v>
      </c>
      <c r="T1298">
        <v>0</v>
      </c>
      <c r="U1298" t="s">
        <v>34</v>
      </c>
    </row>
    <row r="1299" spans="1:24" x14ac:dyDescent="0.25">
      <c r="A1299">
        <f t="shared" ca="1" si="100"/>
        <v>0</v>
      </c>
      <c r="C1299">
        <f t="shared" ca="1" si="101"/>
        <v>0</v>
      </c>
      <c r="D1299" t="s">
        <v>88</v>
      </c>
      <c r="E1299" t="s">
        <v>184</v>
      </c>
      <c r="F1299">
        <v>611</v>
      </c>
      <c r="G1299" t="s">
        <v>185</v>
      </c>
      <c r="H1299" t="s">
        <v>2582</v>
      </c>
      <c r="I1299" t="s">
        <v>30</v>
      </c>
      <c r="J1299" t="s">
        <v>88</v>
      </c>
      <c r="K1299" t="s">
        <v>188</v>
      </c>
      <c r="L1299" t="s">
        <v>2583</v>
      </c>
      <c r="P1299">
        <v>932</v>
      </c>
      <c r="Q1299" t="s">
        <v>1028</v>
      </c>
      <c r="R1299">
        <v>2932.4</v>
      </c>
      <c r="S1299">
        <v>2932.4</v>
      </c>
      <c r="T1299">
        <v>0</v>
      </c>
      <c r="U1299" t="s">
        <v>34</v>
      </c>
    </row>
    <row r="1300" spans="1:24" x14ac:dyDescent="0.25">
      <c r="A1300">
        <f t="shared" ca="1" si="100"/>
        <v>0</v>
      </c>
      <c r="C1300">
        <f t="shared" ca="1" si="101"/>
        <v>0</v>
      </c>
      <c r="D1300" t="s">
        <v>88</v>
      </c>
      <c r="E1300" t="s">
        <v>184</v>
      </c>
      <c r="F1300">
        <v>9019</v>
      </c>
      <c r="G1300" t="s">
        <v>334</v>
      </c>
      <c r="H1300" t="s">
        <v>2584</v>
      </c>
      <c r="I1300" t="s">
        <v>30</v>
      </c>
      <c r="J1300" t="s">
        <v>88</v>
      </c>
      <c r="K1300" t="s">
        <v>188</v>
      </c>
      <c r="L1300" t="s">
        <v>2585</v>
      </c>
      <c r="O1300">
        <v>5046901</v>
      </c>
      <c r="P1300">
        <v>517</v>
      </c>
      <c r="Q1300" t="s">
        <v>1253</v>
      </c>
      <c r="R1300">
        <v>7634.59</v>
      </c>
      <c r="S1300">
        <v>7634.59</v>
      </c>
      <c r="T1300">
        <v>0</v>
      </c>
      <c r="U1300" t="s">
        <v>34</v>
      </c>
      <c r="V1300" s="1">
        <v>46134</v>
      </c>
      <c r="W1300" s="1">
        <v>46135</v>
      </c>
    </row>
    <row r="1301" spans="1:24" x14ac:dyDescent="0.25">
      <c r="A1301">
        <f t="shared" ca="1" si="100"/>
        <v>0</v>
      </c>
      <c r="C1301">
        <f t="shared" ca="1" si="101"/>
        <v>0</v>
      </c>
      <c r="D1301" t="s">
        <v>26</v>
      </c>
      <c r="E1301" t="s">
        <v>64</v>
      </c>
      <c r="F1301">
        <v>179</v>
      </c>
      <c r="G1301" t="s">
        <v>65</v>
      </c>
      <c r="H1301" t="s">
        <v>66</v>
      </c>
      <c r="I1301" t="s">
        <v>30</v>
      </c>
      <c r="J1301" t="s">
        <v>26</v>
      </c>
      <c r="K1301" t="s">
        <v>67</v>
      </c>
      <c r="L1301" t="s">
        <v>1163</v>
      </c>
      <c r="M1301">
        <v>5000</v>
      </c>
      <c r="N1301">
        <v>147</v>
      </c>
      <c r="O1301">
        <v>5071741</v>
      </c>
      <c r="P1301">
        <v>4551</v>
      </c>
      <c r="Q1301" t="s">
        <v>461</v>
      </c>
      <c r="R1301">
        <v>730.07</v>
      </c>
      <c r="S1301">
        <v>730.07</v>
      </c>
      <c r="T1301">
        <v>0</v>
      </c>
      <c r="U1301" t="s">
        <v>34</v>
      </c>
      <c r="V1301" s="1">
        <v>46160</v>
      </c>
      <c r="W1301" s="1">
        <v>46160</v>
      </c>
    </row>
    <row r="1302" spans="1:24" x14ac:dyDescent="0.25">
      <c r="A1302">
        <f t="shared" ca="1" si="100"/>
        <v>0</v>
      </c>
      <c r="C1302">
        <f t="shared" ca="1" si="101"/>
        <v>0</v>
      </c>
      <c r="D1302" t="s">
        <v>35</v>
      </c>
      <c r="E1302" t="s">
        <v>64</v>
      </c>
      <c r="F1302">
        <v>103</v>
      </c>
      <c r="G1302" t="s">
        <v>588</v>
      </c>
      <c r="H1302" t="s">
        <v>589</v>
      </c>
      <c r="I1302" t="s">
        <v>30</v>
      </c>
      <c r="J1302" t="s">
        <v>35</v>
      </c>
      <c r="K1302" t="s">
        <v>67</v>
      </c>
      <c r="L1302" t="s">
        <v>2586</v>
      </c>
      <c r="M1302">
        <v>8000</v>
      </c>
      <c r="N1302">
        <v>165</v>
      </c>
      <c r="O1302">
        <v>5071802</v>
      </c>
      <c r="P1302">
        <v>4983</v>
      </c>
      <c r="Q1302" t="s">
        <v>2587</v>
      </c>
      <c r="R1302">
        <v>1776.5</v>
      </c>
      <c r="S1302">
        <v>1776.5</v>
      </c>
      <c r="T1302">
        <v>0</v>
      </c>
      <c r="U1302" t="s">
        <v>34</v>
      </c>
      <c r="V1302" s="1">
        <v>46160</v>
      </c>
      <c r="W1302" s="1">
        <v>46160</v>
      </c>
    </row>
    <row r="1303" spans="1:24" x14ac:dyDescent="0.25">
      <c r="A1303">
        <f t="shared" ca="1" si="100"/>
        <v>0</v>
      </c>
      <c r="C1303">
        <f t="shared" ca="1" si="101"/>
        <v>0</v>
      </c>
      <c r="D1303" t="s">
        <v>203</v>
      </c>
      <c r="E1303" t="s">
        <v>58</v>
      </c>
      <c r="F1303">
        <v>606</v>
      </c>
      <c r="G1303" t="s">
        <v>602</v>
      </c>
      <c r="H1303" t="s">
        <v>1963</v>
      </c>
      <c r="I1303" t="s">
        <v>44</v>
      </c>
      <c r="J1303" t="s">
        <v>203</v>
      </c>
      <c r="K1303" t="s">
        <v>61</v>
      </c>
      <c r="L1303" t="s">
        <v>2588</v>
      </c>
      <c r="M1303">
        <v>4000</v>
      </c>
      <c r="N1303">
        <v>225</v>
      </c>
      <c r="P1303">
        <v>10234</v>
      </c>
      <c r="Q1303" t="s">
        <v>2506</v>
      </c>
      <c r="R1303">
        <v>56.4</v>
      </c>
      <c r="S1303">
        <v>56.4</v>
      </c>
      <c r="T1303">
        <v>0</v>
      </c>
      <c r="U1303" t="s">
        <v>34</v>
      </c>
    </row>
    <row r="1304" spans="1:24" x14ac:dyDescent="0.25">
      <c r="A1304">
        <f t="shared" ca="1" si="100"/>
        <v>0</v>
      </c>
      <c r="C1304">
        <f t="shared" ca="1" si="101"/>
        <v>0</v>
      </c>
      <c r="D1304" t="s">
        <v>209</v>
      </c>
      <c r="E1304" t="s">
        <v>64</v>
      </c>
      <c r="F1304">
        <v>253</v>
      </c>
      <c r="G1304" t="s">
        <v>1217</v>
      </c>
      <c r="H1304" t="s">
        <v>1751</v>
      </c>
      <c r="I1304" t="s">
        <v>44</v>
      </c>
      <c r="J1304" t="s">
        <v>209</v>
      </c>
      <c r="K1304" t="s">
        <v>67</v>
      </c>
      <c r="L1304" t="s">
        <v>2589</v>
      </c>
      <c r="M1304">
        <v>7000</v>
      </c>
      <c r="N1304">
        <v>123</v>
      </c>
      <c r="O1304">
        <v>5018173</v>
      </c>
      <c r="P1304">
        <v>503</v>
      </c>
      <c r="Q1304" t="s">
        <v>1246</v>
      </c>
      <c r="R1304">
        <v>1942.82</v>
      </c>
      <c r="S1304">
        <v>1942.82</v>
      </c>
      <c r="T1304">
        <v>0</v>
      </c>
      <c r="U1304" t="s">
        <v>34</v>
      </c>
      <c r="V1304" s="1">
        <v>46062</v>
      </c>
      <c r="W1304" s="1">
        <v>46111</v>
      </c>
      <c r="X1304" t="s">
        <v>1247</v>
      </c>
    </row>
    <row r="1305" spans="1:24" x14ac:dyDescent="0.25">
      <c r="A1305">
        <f t="shared" ca="1" si="100"/>
        <v>0</v>
      </c>
      <c r="C1305">
        <f t="shared" ca="1" si="101"/>
        <v>0</v>
      </c>
      <c r="D1305" t="s">
        <v>209</v>
      </c>
      <c r="E1305" t="s">
        <v>64</v>
      </c>
      <c r="F1305">
        <v>253</v>
      </c>
      <c r="G1305" t="s">
        <v>1217</v>
      </c>
      <c r="H1305" t="s">
        <v>1751</v>
      </c>
      <c r="I1305" t="s">
        <v>44</v>
      </c>
      <c r="J1305" t="s">
        <v>209</v>
      </c>
      <c r="K1305" t="s">
        <v>67</v>
      </c>
      <c r="L1305" t="s">
        <v>2589</v>
      </c>
      <c r="M1305">
        <v>7000</v>
      </c>
      <c r="N1305">
        <v>123</v>
      </c>
      <c r="O1305">
        <v>5018178</v>
      </c>
      <c r="P1305">
        <v>503</v>
      </c>
      <c r="Q1305" t="s">
        <v>1246</v>
      </c>
      <c r="R1305">
        <v>2248.9</v>
      </c>
      <c r="S1305">
        <v>2248.9</v>
      </c>
      <c r="T1305">
        <v>0</v>
      </c>
      <c r="U1305" t="s">
        <v>34</v>
      </c>
      <c r="V1305" s="1">
        <v>46062</v>
      </c>
      <c r="W1305" s="1">
        <v>46111</v>
      </c>
      <c r="X1305" t="s">
        <v>1247</v>
      </c>
    </row>
    <row r="1306" spans="1:24" x14ac:dyDescent="0.25">
      <c r="A1306">
        <f t="shared" ca="1" si="100"/>
        <v>0</v>
      </c>
      <c r="C1306">
        <f t="shared" ca="1" si="101"/>
        <v>0</v>
      </c>
      <c r="D1306" t="s">
        <v>285</v>
      </c>
      <c r="E1306" t="s">
        <v>49</v>
      </c>
      <c r="F1306">
        <v>888</v>
      </c>
      <c r="G1306" t="s">
        <v>692</v>
      </c>
      <c r="H1306" t="s">
        <v>2590</v>
      </c>
      <c r="I1306" t="s">
        <v>187</v>
      </c>
      <c r="J1306" t="s">
        <v>285</v>
      </c>
      <c r="K1306" t="s">
        <v>52</v>
      </c>
      <c r="L1306" t="s">
        <v>2591</v>
      </c>
      <c r="O1306">
        <v>4859816</v>
      </c>
      <c r="P1306">
        <v>4486</v>
      </c>
      <c r="Q1306" t="s">
        <v>2592</v>
      </c>
      <c r="R1306">
        <v>1244.58</v>
      </c>
      <c r="S1306">
        <v>1244.58</v>
      </c>
      <c r="T1306">
        <v>0</v>
      </c>
      <c r="U1306" t="s">
        <v>34</v>
      </c>
      <c r="V1306" s="1">
        <v>45757</v>
      </c>
      <c r="W1306" s="1">
        <v>45772</v>
      </c>
    </row>
    <row r="1307" spans="1:24" x14ac:dyDescent="0.25">
      <c r="A1307">
        <f t="shared" ca="1" si="100"/>
        <v>0</v>
      </c>
      <c r="C1307">
        <f t="shared" ca="1" si="101"/>
        <v>0</v>
      </c>
      <c r="D1307" t="s">
        <v>26</v>
      </c>
      <c r="E1307" t="s">
        <v>64</v>
      </c>
      <c r="F1307">
        <v>346</v>
      </c>
      <c r="G1307" t="s">
        <v>65</v>
      </c>
      <c r="H1307" t="s">
        <v>608</v>
      </c>
      <c r="I1307" t="s">
        <v>30</v>
      </c>
      <c r="J1307" t="s">
        <v>26</v>
      </c>
      <c r="K1307" t="s">
        <v>67</v>
      </c>
      <c r="L1307" t="s">
        <v>2593</v>
      </c>
      <c r="M1307">
        <v>10000</v>
      </c>
      <c r="N1307">
        <v>152</v>
      </c>
      <c r="O1307">
        <v>5116223</v>
      </c>
      <c r="P1307">
        <v>28503</v>
      </c>
      <c r="Q1307" t="s">
        <v>2594</v>
      </c>
      <c r="R1307">
        <v>1432.75</v>
      </c>
      <c r="T1307">
        <v>1432.75</v>
      </c>
    </row>
    <row r="1308" spans="1:24" x14ac:dyDescent="0.25">
      <c r="A1308">
        <f t="shared" ca="1" si="100"/>
        <v>0</v>
      </c>
      <c r="C1308">
        <f t="shared" ca="1" si="101"/>
        <v>0</v>
      </c>
      <c r="D1308" t="s">
        <v>88</v>
      </c>
      <c r="E1308" t="s">
        <v>184</v>
      </c>
      <c r="F1308">
        <v>611</v>
      </c>
      <c r="G1308" t="s">
        <v>185</v>
      </c>
      <c r="H1308" t="s">
        <v>2595</v>
      </c>
      <c r="I1308" t="s">
        <v>30</v>
      </c>
      <c r="J1308" t="s">
        <v>88</v>
      </c>
      <c r="K1308" t="s">
        <v>188</v>
      </c>
      <c r="L1308" t="s">
        <v>2596</v>
      </c>
      <c r="P1308">
        <v>932</v>
      </c>
      <c r="Q1308" t="s">
        <v>1028</v>
      </c>
      <c r="R1308">
        <v>11377.58</v>
      </c>
      <c r="S1308">
        <v>11377.58</v>
      </c>
      <c r="T1308">
        <v>0</v>
      </c>
      <c r="U1308" t="s">
        <v>34</v>
      </c>
    </row>
    <row r="1309" spans="1:24" x14ac:dyDescent="0.25">
      <c r="A1309">
        <f t="shared" ca="1" si="100"/>
        <v>0</v>
      </c>
      <c r="C1309">
        <f t="shared" ca="1" si="101"/>
        <v>0</v>
      </c>
      <c r="D1309" t="s">
        <v>57</v>
      </c>
      <c r="E1309" t="s">
        <v>184</v>
      </c>
      <c r="F1309">
        <v>611</v>
      </c>
      <c r="G1309" t="s">
        <v>185</v>
      </c>
      <c r="H1309" t="s">
        <v>2595</v>
      </c>
      <c r="I1309" t="s">
        <v>44</v>
      </c>
      <c r="J1309" t="s">
        <v>57</v>
      </c>
      <c r="K1309" t="s">
        <v>188</v>
      </c>
      <c r="L1309" t="s">
        <v>2597</v>
      </c>
      <c r="P1309">
        <v>932</v>
      </c>
      <c r="Q1309" t="s">
        <v>1028</v>
      </c>
      <c r="R1309">
        <v>5028.9399999999996</v>
      </c>
      <c r="S1309">
        <v>5028.9399999999996</v>
      </c>
      <c r="T1309">
        <v>0</v>
      </c>
      <c r="U1309" t="s">
        <v>34</v>
      </c>
    </row>
    <row r="1310" spans="1:24" x14ac:dyDescent="0.25">
      <c r="A1310">
        <f t="shared" ca="1" si="100"/>
        <v>0</v>
      </c>
      <c r="C1310">
        <f t="shared" ca="1" si="101"/>
        <v>0</v>
      </c>
      <c r="D1310" t="s">
        <v>41</v>
      </c>
      <c r="E1310" t="s">
        <v>445</v>
      </c>
      <c r="F1310">
        <v>2423</v>
      </c>
      <c r="G1310" t="s">
        <v>518</v>
      </c>
      <c r="H1310" t="s">
        <v>2598</v>
      </c>
      <c r="I1310" t="s">
        <v>44</v>
      </c>
      <c r="J1310" t="s">
        <v>41</v>
      </c>
      <c r="K1310" t="s">
        <v>448</v>
      </c>
      <c r="L1310" t="s">
        <v>2599</v>
      </c>
      <c r="O1310">
        <v>5110048</v>
      </c>
      <c r="P1310">
        <v>5832</v>
      </c>
      <c r="Q1310" t="s">
        <v>302</v>
      </c>
      <c r="R1310">
        <v>3848.63</v>
      </c>
      <c r="T1310">
        <v>3848.63</v>
      </c>
    </row>
    <row r="1311" spans="1:24" x14ac:dyDescent="0.25">
      <c r="A1311">
        <f t="shared" ca="1" si="100"/>
        <v>0</v>
      </c>
      <c r="C1311">
        <f t="shared" ca="1" si="101"/>
        <v>0</v>
      </c>
      <c r="D1311" t="s">
        <v>26</v>
      </c>
      <c r="E1311" t="s">
        <v>64</v>
      </c>
      <c r="F1311">
        <v>103</v>
      </c>
      <c r="G1311" t="s">
        <v>588</v>
      </c>
      <c r="H1311" t="s">
        <v>1362</v>
      </c>
      <c r="I1311" t="s">
        <v>30</v>
      </c>
      <c r="J1311" t="s">
        <v>26</v>
      </c>
      <c r="K1311" t="s">
        <v>67</v>
      </c>
      <c r="L1311" t="s">
        <v>2600</v>
      </c>
      <c r="M1311">
        <v>22000</v>
      </c>
      <c r="N1311">
        <v>159</v>
      </c>
      <c r="O1311">
        <v>5117634</v>
      </c>
      <c r="P1311">
        <v>28503</v>
      </c>
      <c r="Q1311" t="s">
        <v>2594</v>
      </c>
      <c r="R1311">
        <v>2110.96</v>
      </c>
      <c r="T1311">
        <v>2110.96</v>
      </c>
    </row>
    <row r="1312" spans="1:24" x14ac:dyDescent="0.25">
      <c r="A1312">
        <f t="shared" ref="A1312:A1348" ca="1" si="102">+ Cmde</f>
        <v>0</v>
      </c>
      <c r="C1312">
        <f t="shared" ref="C1312:C1348" ca="1" si="103">+ Devis</f>
        <v>0</v>
      </c>
      <c r="D1312" t="s">
        <v>74</v>
      </c>
      <c r="E1312" t="s">
        <v>64</v>
      </c>
      <c r="F1312">
        <v>346</v>
      </c>
      <c r="G1312" t="s">
        <v>65</v>
      </c>
      <c r="H1312" t="s">
        <v>2601</v>
      </c>
      <c r="I1312" t="s">
        <v>30</v>
      </c>
      <c r="J1312" t="s">
        <v>74</v>
      </c>
      <c r="K1312" t="s">
        <v>67</v>
      </c>
      <c r="L1312" t="s">
        <v>2602</v>
      </c>
      <c r="O1312">
        <v>5117670</v>
      </c>
      <c r="P1312">
        <v>3933</v>
      </c>
      <c r="Q1312" t="s">
        <v>1398</v>
      </c>
      <c r="R1312">
        <v>2116.1799999999998</v>
      </c>
      <c r="T1312">
        <v>2116.1799999999998</v>
      </c>
    </row>
    <row r="1313" spans="1:26" x14ac:dyDescent="0.25">
      <c r="A1313">
        <f t="shared" ca="1" si="102"/>
        <v>0</v>
      </c>
      <c r="C1313">
        <f t="shared" ca="1" si="103"/>
        <v>0</v>
      </c>
      <c r="D1313" t="s">
        <v>368</v>
      </c>
      <c r="E1313" t="s">
        <v>58</v>
      </c>
      <c r="F1313">
        <v>95</v>
      </c>
      <c r="G1313" t="s">
        <v>59</v>
      </c>
      <c r="H1313" t="s">
        <v>2603</v>
      </c>
      <c r="I1313" t="s">
        <v>187</v>
      </c>
      <c r="J1313" t="s">
        <v>368</v>
      </c>
      <c r="K1313" t="s">
        <v>61</v>
      </c>
      <c r="L1313" t="s">
        <v>2604</v>
      </c>
      <c r="O1313">
        <v>5050409</v>
      </c>
      <c r="P1313">
        <v>17125</v>
      </c>
      <c r="Q1313" t="s">
        <v>721</v>
      </c>
      <c r="R1313">
        <v>1418.34</v>
      </c>
      <c r="S1313">
        <v>1418.34</v>
      </c>
      <c r="T1313">
        <v>0</v>
      </c>
      <c r="U1313" t="s">
        <v>34</v>
      </c>
    </row>
    <row r="1314" spans="1:26" x14ac:dyDescent="0.25">
      <c r="A1314">
        <f t="shared" ca="1" si="102"/>
        <v>0</v>
      </c>
      <c r="C1314">
        <f t="shared" ca="1" si="103"/>
        <v>0</v>
      </c>
      <c r="D1314" t="s">
        <v>196</v>
      </c>
      <c r="E1314" t="s">
        <v>58</v>
      </c>
      <c r="F1314">
        <v>847</v>
      </c>
      <c r="G1314" t="s">
        <v>224</v>
      </c>
      <c r="H1314" t="s">
        <v>1842</v>
      </c>
      <c r="I1314" t="s">
        <v>187</v>
      </c>
      <c r="J1314" t="s">
        <v>196</v>
      </c>
      <c r="K1314" t="s">
        <v>61</v>
      </c>
      <c r="L1314" t="s">
        <v>2605</v>
      </c>
      <c r="M1314">
        <v>6000</v>
      </c>
      <c r="N1314">
        <v>183</v>
      </c>
      <c r="O1314">
        <v>5013272</v>
      </c>
      <c r="P1314">
        <v>8598</v>
      </c>
      <c r="Q1314" t="s">
        <v>78</v>
      </c>
      <c r="R1314">
        <v>6836.5</v>
      </c>
      <c r="T1314">
        <v>6836.5</v>
      </c>
      <c r="U1314" t="s">
        <v>40</v>
      </c>
      <c r="V1314" s="1">
        <v>46174</v>
      </c>
      <c r="W1314" s="1">
        <v>46203</v>
      </c>
      <c r="X1314" t="s">
        <v>593</v>
      </c>
      <c r="Y1314" t="s">
        <v>104</v>
      </c>
      <c r="Z1314" s="1">
        <v>46121</v>
      </c>
    </row>
    <row r="1315" spans="1:26" x14ac:dyDescent="0.25">
      <c r="A1315">
        <f t="shared" ca="1" si="102"/>
        <v>0</v>
      </c>
      <c r="C1315">
        <f t="shared" ca="1" si="103"/>
        <v>0</v>
      </c>
      <c r="D1315" t="s">
        <v>183</v>
      </c>
      <c r="E1315" t="s">
        <v>58</v>
      </c>
      <c r="F1315">
        <v>529</v>
      </c>
      <c r="G1315" t="s">
        <v>747</v>
      </c>
      <c r="H1315" t="s">
        <v>1831</v>
      </c>
      <c r="I1315" t="s">
        <v>187</v>
      </c>
      <c r="J1315" t="s">
        <v>183</v>
      </c>
      <c r="K1315" t="s">
        <v>61</v>
      </c>
      <c r="L1315" t="s">
        <v>2606</v>
      </c>
      <c r="M1315">
        <v>8500</v>
      </c>
      <c r="N1315">
        <v>178</v>
      </c>
      <c r="O1315">
        <v>5013283</v>
      </c>
      <c r="P1315">
        <v>6348</v>
      </c>
      <c r="Q1315" t="s">
        <v>1830</v>
      </c>
      <c r="R1315">
        <v>8215.75</v>
      </c>
      <c r="T1315">
        <v>8215.75</v>
      </c>
      <c r="U1315" t="s">
        <v>40</v>
      </c>
      <c r="V1315" s="1">
        <v>46273</v>
      </c>
      <c r="W1315" s="1">
        <v>46295</v>
      </c>
      <c r="X1315" t="s">
        <v>296</v>
      </c>
      <c r="Y1315" t="s">
        <v>676</v>
      </c>
      <c r="Z1315" s="1">
        <v>46085</v>
      </c>
    </row>
    <row r="1316" spans="1:26" x14ac:dyDescent="0.25">
      <c r="A1316">
        <f t="shared" ca="1" si="102"/>
        <v>0</v>
      </c>
      <c r="C1316">
        <f t="shared" ca="1" si="103"/>
        <v>0</v>
      </c>
      <c r="D1316" t="s">
        <v>196</v>
      </c>
      <c r="E1316" t="s">
        <v>58</v>
      </c>
      <c r="F1316">
        <v>722</v>
      </c>
      <c r="G1316" t="s">
        <v>897</v>
      </c>
      <c r="H1316" t="s">
        <v>1840</v>
      </c>
      <c r="I1316" t="s">
        <v>187</v>
      </c>
      <c r="J1316" t="s">
        <v>196</v>
      </c>
      <c r="K1316" t="s">
        <v>61</v>
      </c>
      <c r="L1316" t="s">
        <v>2607</v>
      </c>
      <c r="M1316">
        <v>10000</v>
      </c>
      <c r="N1316">
        <v>182</v>
      </c>
      <c r="O1316">
        <v>5013286</v>
      </c>
      <c r="P1316">
        <v>641</v>
      </c>
      <c r="Q1316" t="s">
        <v>1347</v>
      </c>
      <c r="R1316">
        <v>6468</v>
      </c>
      <c r="S1316">
        <v>6468</v>
      </c>
      <c r="T1316">
        <v>0</v>
      </c>
      <c r="U1316" t="s">
        <v>34</v>
      </c>
      <c r="X1316" t="s">
        <v>1302</v>
      </c>
    </row>
    <row r="1317" spans="1:26" x14ac:dyDescent="0.25">
      <c r="A1317">
        <f t="shared" ca="1" si="102"/>
        <v>0</v>
      </c>
      <c r="C1317">
        <f t="shared" ca="1" si="103"/>
        <v>0</v>
      </c>
      <c r="D1317" t="s">
        <v>203</v>
      </c>
      <c r="E1317" t="s">
        <v>58</v>
      </c>
      <c r="F1317">
        <v>584</v>
      </c>
      <c r="G1317" t="s">
        <v>897</v>
      </c>
      <c r="H1317" t="s">
        <v>1697</v>
      </c>
      <c r="I1317" t="s">
        <v>44</v>
      </c>
      <c r="J1317" t="s">
        <v>203</v>
      </c>
      <c r="K1317" t="s">
        <v>61</v>
      </c>
      <c r="L1317" t="s">
        <v>1791</v>
      </c>
      <c r="M1317">
        <v>32000</v>
      </c>
      <c r="N1317">
        <v>197</v>
      </c>
      <c r="O1317">
        <v>5013287</v>
      </c>
      <c r="P1317">
        <v>81</v>
      </c>
      <c r="Q1317" t="s">
        <v>102</v>
      </c>
      <c r="R1317">
        <v>14951.21</v>
      </c>
      <c r="T1317">
        <v>14951.21</v>
      </c>
      <c r="U1317" t="s">
        <v>107</v>
      </c>
      <c r="V1317" s="1">
        <v>46296</v>
      </c>
      <c r="W1317" s="1">
        <v>46356</v>
      </c>
      <c r="X1317" t="s">
        <v>1956</v>
      </c>
    </row>
    <row r="1318" spans="1:26" x14ac:dyDescent="0.25">
      <c r="A1318">
        <f t="shared" ca="1" si="102"/>
        <v>0</v>
      </c>
      <c r="C1318">
        <f t="shared" ca="1" si="103"/>
        <v>0</v>
      </c>
      <c r="D1318" t="s">
        <v>221</v>
      </c>
      <c r="E1318" t="s">
        <v>58</v>
      </c>
      <c r="F1318">
        <v>182</v>
      </c>
      <c r="G1318" t="s">
        <v>224</v>
      </c>
      <c r="H1318" t="s">
        <v>1224</v>
      </c>
      <c r="I1318" t="s">
        <v>187</v>
      </c>
      <c r="J1318" t="s">
        <v>221</v>
      </c>
      <c r="K1318" t="s">
        <v>61</v>
      </c>
      <c r="L1318" t="s">
        <v>1825</v>
      </c>
      <c r="M1318">
        <v>13000</v>
      </c>
      <c r="N1318">
        <v>175</v>
      </c>
      <c r="O1318">
        <v>5013288</v>
      </c>
      <c r="P1318">
        <v>641</v>
      </c>
      <c r="Q1318" t="s">
        <v>1347</v>
      </c>
      <c r="R1318">
        <v>11629.75</v>
      </c>
      <c r="S1318">
        <v>11629.75</v>
      </c>
      <c r="T1318">
        <v>0</v>
      </c>
      <c r="U1318" t="s">
        <v>34</v>
      </c>
      <c r="V1318" s="1">
        <v>46195</v>
      </c>
      <c r="W1318" s="1">
        <v>46199</v>
      </c>
      <c r="X1318" t="s">
        <v>1302</v>
      </c>
    </row>
    <row r="1319" spans="1:26" x14ac:dyDescent="0.25">
      <c r="A1319">
        <f t="shared" ca="1" si="102"/>
        <v>0</v>
      </c>
      <c r="C1319">
        <f t="shared" ca="1" si="103"/>
        <v>0</v>
      </c>
      <c r="D1319" t="s">
        <v>35</v>
      </c>
      <c r="E1319" t="s">
        <v>64</v>
      </c>
      <c r="F1319">
        <v>104</v>
      </c>
      <c r="G1319" t="s">
        <v>588</v>
      </c>
      <c r="H1319" t="s">
        <v>589</v>
      </c>
      <c r="I1319" t="s">
        <v>30</v>
      </c>
      <c r="J1319" t="s">
        <v>35</v>
      </c>
      <c r="K1319" t="s">
        <v>67</v>
      </c>
      <c r="L1319" t="s">
        <v>590</v>
      </c>
      <c r="M1319">
        <v>8000</v>
      </c>
      <c r="N1319">
        <v>167</v>
      </c>
      <c r="O1319">
        <v>5014017</v>
      </c>
      <c r="P1319">
        <v>6364</v>
      </c>
      <c r="Q1319" t="s">
        <v>331</v>
      </c>
      <c r="R1319">
        <v>1869.8</v>
      </c>
      <c r="S1319">
        <v>1869.8</v>
      </c>
      <c r="T1319">
        <v>0</v>
      </c>
      <c r="U1319" t="s">
        <v>34</v>
      </c>
      <c r="V1319" s="1">
        <v>46028</v>
      </c>
      <c r="W1319" s="1">
        <v>46029</v>
      </c>
    </row>
    <row r="1320" spans="1:26" x14ac:dyDescent="0.25">
      <c r="A1320">
        <f t="shared" ca="1" si="102"/>
        <v>0</v>
      </c>
      <c r="C1320">
        <f t="shared" ca="1" si="103"/>
        <v>0</v>
      </c>
      <c r="D1320" t="s">
        <v>203</v>
      </c>
      <c r="E1320" t="s">
        <v>58</v>
      </c>
      <c r="F1320">
        <v>372</v>
      </c>
      <c r="G1320" t="s">
        <v>224</v>
      </c>
      <c r="H1320" t="s">
        <v>1863</v>
      </c>
      <c r="I1320" t="s">
        <v>44</v>
      </c>
      <c r="J1320" t="s">
        <v>203</v>
      </c>
      <c r="K1320" t="s">
        <v>61</v>
      </c>
      <c r="L1320" t="s">
        <v>2608</v>
      </c>
      <c r="M1320">
        <v>28000</v>
      </c>
      <c r="N1320">
        <v>198</v>
      </c>
      <c r="P1320">
        <v>2931</v>
      </c>
      <c r="Q1320" t="s">
        <v>2609</v>
      </c>
      <c r="R1320">
        <v>1764</v>
      </c>
      <c r="S1320">
        <v>1764</v>
      </c>
      <c r="T1320">
        <v>0</v>
      </c>
    </row>
    <row r="1321" spans="1:26" x14ac:dyDescent="0.25">
      <c r="A1321">
        <f t="shared" ca="1" si="102"/>
        <v>0</v>
      </c>
      <c r="C1321">
        <f t="shared" ca="1" si="103"/>
        <v>0</v>
      </c>
      <c r="D1321" t="s">
        <v>183</v>
      </c>
      <c r="E1321" t="s">
        <v>58</v>
      </c>
      <c r="F1321">
        <v>509</v>
      </c>
      <c r="G1321" t="s">
        <v>59</v>
      </c>
      <c r="H1321" t="s">
        <v>2610</v>
      </c>
      <c r="I1321" t="s">
        <v>187</v>
      </c>
      <c r="J1321" t="s">
        <v>183</v>
      </c>
      <c r="K1321" t="s">
        <v>61</v>
      </c>
      <c r="L1321" t="s">
        <v>2611</v>
      </c>
      <c r="O1321">
        <v>5024428</v>
      </c>
      <c r="P1321">
        <v>8598</v>
      </c>
      <c r="Q1321" t="s">
        <v>78</v>
      </c>
      <c r="R1321">
        <v>2794</v>
      </c>
      <c r="S1321">
        <v>2794</v>
      </c>
      <c r="T1321">
        <v>0</v>
      </c>
      <c r="U1321" t="s">
        <v>34</v>
      </c>
      <c r="V1321" s="1">
        <v>46168</v>
      </c>
      <c r="W1321" s="1">
        <v>46173</v>
      </c>
      <c r="X1321" t="s">
        <v>593</v>
      </c>
    </row>
    <row r="1322" spans="1:26" x14ac:dyDescent="0.25">
      <c r="A1322">
        <f t="shared" ca="1" si="102"/>
        <v>0</v>
      </c>
      <c r="C1322">
        <f t="shared" ca="1" si="103"/>
        <v>0</v>
      </c>
      <c r="D1322" t="s">
        <v>41</v>
      </c>
      <c r="E1322" t="s">
        <v>49</v>
      </c>
      <c r="F1322">
        <v>1584</v>
      </c>
      <c r="G1322" t="s">
        <v>50</v>
      </c>
      <c r="H1322" t="s">
        <v>2612</v>
      </c>
      <c r="I1322" t="s">
        <v>44</v>
      </c>
      <c r="J1322" t="s">
        <v>41</v>
      </c>
      <c r="K1322" t="s">
        <v>326</v>
      </c>
      <c r="L1322" t="s">
        <v>2613</v>
      </c>
      <c r="O1322">
        <v>5037287</v>
      </c>
      <c r="P1322">
        <v>5978</v>
      </c>
      <c r="Q1322" t="s">
        <v>54</v>
      </c>
      <c r="R1322">
        <v>3569.5</v>
      </c>
      <c r="S1322">
        <v>3569.5</v>
      </c>
      <c r="T1322">
        <v>0</v>
      </c>
      <c r="U1322" t="s">
        <v>34</v>
      </c>
      <c r="V1322" s="1">
        <v>46090</v>
      </c>
      <c r="W1322" s="1">
        <v>46108</v>
      </c>
    </row>
    <row r="1323" spans="1:26" x14ac:dyDescent="0.25">
      <c r="A1323">
        <f t="shared" ca="1" si="102"/>
        <v>0</v>
      </c>
      <c r="C1323">
        <f t="shared" ca="1" si="103"/>
        <v>0</v>
      </c>
      <c r="D1323" t="s">
        <v>35</v>
      </c>
      <c r="E1323" t="s">
        <v>27</v>
      </c>
      <c r="F1323">
        <v>514</v>
      </c>
      <c r="G1323" t="s">
        <v>1078</v>
      </c>
      <c r="H1323" t="s">
        <v>1925</v>
      </c>
      <c r="I1323" t="s">
        <v>30</v>
      </c>
      <c r="J1323" t="s">
        <v>35</v>
      </c>
      <c r="K1323" t="s">
        <v>31</v>
      </c>
      <c r="L1323" t="s">
        <v>2265</v>
      </c>
    </row>
    <row r="1324" spans="1:26" x14ac:dyDescent="0.25">
      <c r="A1324">
        <f t="shared" ca="1" si="102"/>
        <v>0</v>
      </c>
      <c r="C1324">
        <f t="shared" ca="1" si="103"/>
        <v>0</v>
      </c>
      <c r="D1324" t="s">
        <v>209</v>
      </c>
      <c r="E1324" t="s">
        <v>184</v>
      </c>
      <c r="F1324">
        <v>927</v>
      </c>
      <c r="G1324" t="s">
        <v>192</v>
      </c>
      <c r="H1324" t="s">
        <v>2614</v>
      </c>
      <c r="I1324" t="s">
        <v>44</v>
      </c>
      <c r="J1324" t="s">
        <v>209</v>
      </c>
      <c r="K1324" t="s">
        <v>188</v>
      </c>
      <c r="L1324" t="s">
        <v>2615</v>
      </c>
      <c r="M1324">
        <v>25000</v>
      </c>
      <c r="N1324">
        <v>452</v>
      </c>
      <c r="O1324">
        <v>5059241</v>
      </c>
      <c r="P1324">
        <v>6364</v>
      </c>
      <c r="Q1324" t="s">
        <v>331</v>
      </c>
    </row>
    <row r="1325" spans="1:26" x14ac:dyDescent="0.25">
      <c r="A1325">
        <f t="shared" ca="1" si="102"/>
        <v>0</v>
      </c>
      <c r="C1325">
        <f t="shared" ca="1" si="103"/>
        <v>0</v>
      </c>
      <c r="D1325" t="s">
        <v>285</v>
      </c>
      <c r="E1325" t="s">
        <v>245</v>
      </c>
      <c r="F1325">
        <v>1292</v>
      </c>
      <c r="G1325" t="s">
        <v>246</v>
      </c>
      <c r="H1325" t="s">
        <v>2616</v>
      </c>
      <c r="I1325" t="s">
        <v>187</v>
      </c>
      <c r="J1325" t="s">
        <v>285</v>
      </c>
      <c r="K1325" t="s">
        <v>188</v>
      </c>
      <c r="L1325" t="s">
        <v>2617</v>
      </c>
      <c r="O1325">
        <v>5059309</v>
      </c>
      <c r="P1325">
        <v>6364</v>
      </c>
      <c r="Q1325" t="s">
        <v>331</v>
      </c>
      <c r="R1325">
        <v>2905.9</v>
      </c>
      <c r="S1325">
        <v>2905.9</v>
      </c>
      <c r="T1325">
        <v>0</v>
      </c>
      <c r="U1325" t="s">
        <v>34</v>
      </c>
    </row>
    <row r="1326" spans="1:26" x14ac:dyDescent="0.25">
      <c r="A1326">
        <f t="shared" ca="1" si="102"/>
        <v>0</v>
      </c>
      <c r="C1326">
        <f t="shared" ca="1" si="103"/>
        <v>0</v>
      </c>
      <c r="D1326" t="s">
        <v>26</v>
      </c>
      <c r="E1326" t="s">
        <v>900</v>
      </c>
      <c r="F1326">
        <v>1207</v>
      </c>
      <c r="G1326" t="s">
        <v>904</v>
      </c>
      <c r="H1326" t="s">
        <v>2054</v>
      </c>
      <c r="I1326" t="s">
        <v>30</v>
      </c>
      <c r="J1326" t="s">
        <v>26</v>
      </c>
      <c r="K1326" t="s">
        <v>326</v>
      </c>
      <c r="L1326" t="s">
        <v>2055</v>
      </c>
      <c r="M1326">
        <v>24000</v>
      </c>
      <c r="N1326">
        <v>293</v>
      </c>
      <c r="O1326">
        <v>5066784</v>
      </c>
      <c r="P1326">
        <v>6455</v>
      </c>
      <c r="Q1326" t="s">
        <v>39</v>
      </c>
      <c r="R1326">
        <v>7999.2</v>
      </c>
      <c r="S1326">
        <v>7999.2</v>
      </c>
      <c r="T1326">
        <v>0</v>
      </c>
      <c r="U1326" t="s">
        <v>34</v>
      </c>
      <c r="V1326" s="1">
        <v>46272</v>
      </c>
      <c r="W1326" s="1">
        <v>46290</v>
      </c>
    </row>
    <row r="1327" spans="1:26" x14ac:dyDescent="0.25">
      <c r="A1327">
        <f t="shared" ca="1" si="102"/>
        <v>0</v>
      </c>
      <c r="C1327">
        <f t="shared" ca="1" si="103"/>
        <v>0</v>
      </c>
      <c r="D1327" t="s">
        <v>236</v>
      </c>
      <c r="E1327" t="s">
        <v>297</v>
      </c>
      <c r="F1327">
        <v>1831</v>
      </c>
      <c r="G1327" t="s">
        <v>304</v>
      </c>
      <c r="H1327" t="s">
        <v>1185</v>
      </c>
      <c r="I1327" t="s">
        <v>44</v>
      </c>
      <c r="J1327" t="s">
        <v>236</v>
      </c>
      <c r="K1327" t="s">
        <v>300</v>
      </c>
      <c r="L1327" t="s">
        <v>2618</v>
      </c>
      <c r="M1327">
        <v>10000</v>
      </c>
      <c r="N1327">
        <v>488</v>
      </c>
      <c r="O1327">
        <v>5085463</v>
      </c>
      <c r="P1327">
        <v>8168</v>
      </c>
      <c r="Q1327" t="s">
        <v>385</v>
      </c>
      <c r="R1327">
        <v>2540.96</v>
      </c>
      <c r="S1327">
        <v>2540.96</v>
      </c>
      <c r="T1327">
        <v>0</v>
      </c>
      <c r="U1327" t="s">
        <v>34</v>
      </c>
      <c r="V1327" s="1">
        <v>46195</v>
      </c>
      <c r="W1327" s="1">
        <v>46199</v>
      </c>
    </row>
    <row r="1328" spans="1:26" x14ac:dyDescent="0.25">
      <c r="A1328">
        <f t="shared" ca="1" si="102"/>
        <v>0</v>
      </c>
      <c r="C1328">
        <f t="shared" ca="1" si="103"/>
        <v>0</v>
      </c>
      <c r="D1328" t="s">
        <v>209</v>
      </c>
      <c r="E1328" t="s">
        <v>27</v>
      </c>
      <c r="F1328">
        <v>470</v>
      </c>
      <c r="G1328" t="s">
        <v>85</v>
      </c>
      <c r="H1328" t="s">
        <v>1385</v>
      </c>
      <c r="I1328" t="s">
        <v>44</v>
      </c>
      <c r="J1328" t="s">
        <v>209</v>
      </c>
      <c r="K1328" t="s">
        <v>31</v>
      </c>
      <c r="L1328" t="s">
        <v>2619</v>
      </c>
      <c r="M1328">
        <v>9000</v>
      </c>
      <c r="N1328">
        <v>350</v>
      </c>
      <c r="O1328">
        <v>5092928</v>
      </c>
      <c r="P1328">
        <v>7431</v>
      </c>
      <c r="Q1328" t="s">
        <v>121</v>
      </c>
      <c r="R1328">
        <v>8547</v>
      </c>
      <c r="T1328">
        <v>8547</v>
      </c>
      <c r="U1328" t="s">
        <v>40</v>
      </c>
      <c r="V1328" s="1">
        <v>46235</v>
      </c>
      <c r="W1328" s="1">
        <v>46266</v>
      </c>
    </row>
    <row r="1329" spans="1:24" x14ac:dyDescent="0.25">
      <c r="A1329">
        <f t="shared" ca="1" si="102"/>
        <v>0</v>
      </c>
      <c r="C1329">
        <f t="shared" ca="1" si="103"/>
        <v>0</v>
      </c>
      <c r="D1329" t="s">
        <v>26</v>
      </c>
      <c r="E1329" t="s">
        <v>297</v>
      </c>
      <c r="F1329">
        <v>1352</v>
      </c>
      <c r="G1329" t="s">
        <v>359</v>
      </c>
      <c r="H1329" t="s">
        <v>2620</v>
      </c>
      <c r="I1329" t="s">
        <v>30</v>
      </c>
      <c r="J1329" t="s">
        <v>26</v>
      </c>
      <c r="K1329" t="s">
        <v>300</v>
      </c>
      <c r="L1329" t="s">
        <v>2621</v>
      </c>
      <c r="O1329">
        <v>5096475</v>
      </c>
      <c r="P1329">
        <v>5700</v>
      </c>
      <c r="Q1329" t="s">
        <v>493</v>
      </c>
      <c r="R1329">
        <v>2015.2</v>
      </c>
      <c r="T1329">
        <v>2015.2</v>
      </c>
      <c r="U1329" t="s">
        <v>40</v>
      </c>
      <c r="V1329" s="1">
        <v>46237</v>
      </c>
      <c r="W1329" s="1">
        <v>46241</v>
      </c>
    </row>
    <row r="1330" spans="1:24" x14ac:dyDescent="0.25">
      <c r="A1330">
        <f t="shared" ca="1" si="102"/>
        <v>0</v>
      </c>
      <c r="C1330">
        <f t="shared" ca="1" si="103"/>
        <v>0</v>
      </c>
      <c r="D1330" t="s">
        <v>285</v>
      </c>
      <c r="E1330" t="s">
        <v>184</v>
      </c>
      <c r="F1330">
        <v>1433</v>
      </c>
      <c r="G1330" t="s">
        <v>192</v>
      </c>
      <c r="H1330" t="s">
        <v>1200</v>
      </c>
      <c r="I1330" t="s">
        <v>187</v>
      </c>
      <c r="J1330" t="s">
        <v>285</v>
      </c>
      <c r="K1330" t="s">
        <v>188</v>
      </c>
      <c r="L1330" t="s">
        <v>2622</v>
      </c>
      <c r="O1330">
        <v>5109085</v>
      </c>
      <c r="P1330">
        <v>17125</v>
      </c>
      <c r="Q1330" t="s">
        <v>721</v>
      </c>
      <c r="R1330">
        <v>298.38</v>
      </c>
      <c r="T1330">
        <v>298.38</v>
      </c>
    </row>
    <row r="1331" spans="1:24" x14ac:dyDescent="0.25">
      <c r="A1331">
        <f t="shared" ca="1" si="102"/>
        <v>0</v>
      </c>
      <c r="C1331">
        <f t="shared" ca="1" si="103"/>
        <v>0</v>
      </c>
      <c r="D1331" t="s">
        <v>285</v>
      </c>
      <c r="E1331" t="s">
        <v>237</v>
      </c>
      <c r="F1331">
        <v>636</v>
      </c>
      <c r="G1331" t="s">
        <v>887</v>
      </c>
      <c r="H1331" t="s">
        <v>2623</v>
      </c>
      <c r="I1331" t="s">
        <v>187</v>
      </c>
      <c r="J1331" t="s">
        <v>285</v>
      </c>
      <c r="K1331" t="s">
        <v>240</v>
      </c>
      <c r="L1331" t="s">
        <v>2624</v>
      </c>
      <c r="O1331">
        <v>5113841</v>
      </c>
      <c r="P1331">
        <v>6957</v>
      </c>
      <c r="Q1331" t="s">
        <v>2459</v>
      </c>
      <c r="R1331">
        <v>7735.24</v>
      </c>
      <c r="T1331">
        <v>7735.24</v>
      </c>
    </row>
    <row r="1332" spans="1:24" x14ac:dyDescent="0.25">
      <c r="A1332">
        <f t="shared" ca="1" si="102"/>
        <v>0</v>
      </c>
      <c r="C1332">
        <f t="shared" ca="1" si="103"/>
        <v>0</v>
      </c>
      <c r="D1332" t="s">
        <v>35</v>
      </c>
      <c r="E1332" t="s">
        <v>64</v>
      </c>
      <c r="F1332">
        <v>505</v>
      </c>
      <c r="G1332" t="s">
        <v>65</v>
      </c>
      <c r="H1332" t="s">
        <v>2625</v>
      </c>
      <c r="I1332" t="s">
        <v>30</v>
      </c>
      <c r="J1332" t="s">
        <v>35</v>
      </c>
      <c r="K1332" t="s">
        <v>67</v>
      </c>
      <c r="L1332" t="s">
        <v>2626</v>
      </c>
      <c r="O1332">
        <v>5117703</v>
      </c>
      <c r="P1332">
        <v>2391</v>
      </c>
      <c r="Q1332" t="s">
        <v>314</v>
      </c>
      <c r="R1332">
        <v>2333.87</v>
      </c>
      <c r="S1332">
        <v>2333.87</v>
      </c>
      <c r="T1332">
        <v>0</v>
      </c>
      <c r="U1332" t="s">
        <v>34</v>
      </c>
    </row>
    <row r="1333" spans="1:24" x14ac:dyDescent="0.25">
      <c r="A1333">
        <f t="shared" ca="1" si="102"/>
        <v>0</v>
      </c>
      <c r="C1333">
        <f t="shared" ca="1" si="103"/>
        <v>0</v>
      </c>
      <c r="D1333" t="s">
        <v>57</v>
      </c>
      <c r="E1333" t="s">
        <v>64</v>
      </c>
      <c r="F1333">
        <v>1445</v>
      </c>
      <c r="G1333" t="s">
        <v>755</v>
      </c>
      <c r="H1333" t="s">
        <v>2627</v>
      </c>
      <c r="I1333" t="s">
        <v>44</v>
      </c>
      <c r="J1333" t="s">
        <v>57</v>
      </c>
      <c r="K1333" t="s">
        <v>67</v>
      </c>
      <c r="L1333" t="s">
        <v>2628</v>
      </c>
      <c r="O1333">
        <v>5117771</v>
      </c>
      <c r="P1333">
        <v>29</v>
      </c>
      <c r="Q1333" t="s">
        <v>933</v>
      </c>
      <c r="R1333">
        <v>2058.64</v>
      </c>
      <c r="T1333">
        <v>2058.64</v>
      </c>
    </row>
    <row r="1334" spans="1:24" x14ac:dyDescent="0.25">
      <c r="A1334">
        <f t="shared" ca="1" si="102"/>
        <v>0</v>
      </c>
      <c r="C1334">
        <f t="shared" ca="1" si="103"/>
        <v>0</v>
      </c>
      <c r="D1334" t="s">
        <v>209</v>
      </c>
      <c r="E1334" t="s">
        <v>27</v>
      </c>
      <c r="F1334">
        <v>180</v>
      </c>
      <c r="G1334" t="s">
        <v>36</v>
      </c>
      <c r="H1334" t="s">
        <v>2629</v>
      </c>
      <c r="I1334" t="s">
        <v>44</v>
      </c>
      <c r="J1334" t="s">
        <v>209</v>
      </c>
      <c r="K1334" t="s">
        <v>31</v>
      </c>
      <c r="L1334" t="s">
        <v>2630</v>
      </c>
      <c r="O1334">
        <v>5105398</v>
      </c>
      <c r="P1334">
        <v>81</v>
      </c>
      <c r="Q1334" t="s">
        <v>102</v>
      </c>
      <c r="R1334">
        <v>3625.25</v>
      </c>
      <c r="T1334">
        <v>3625.25</v>
      </c>
      <c r="U1334" t="s">
        <v>40</v>
      </c>
      <c r="V1334" s="1">
        <v>46280</v>
      </c>
      <c r="W1334" s="1">
        <v>46295</v>
      </c>
    </row>
    <row r="1335" spans="1:24" x14ac:dyDescent="0.25">
      <c r="A1335">
        <f t="shared" ca="1" si="102"/>
        <v>0</v>
      </c>
      <c r="C1335">
        <f t="shared" ca="1" si="103"/>
        <v>0</v>
      </c>
      <c r="D1335" t="s">
        <v>35</v>
      </c>
      <c r="E1335" t="s">
        <v>184</v>
      </c>
      <c r="F1335">
        <v>800</v>
      </c>
      <c r="G1335" t="s">
        <v>334</v>
      </c>
      <c r="H1335" t="s">
        <v>1031</v>
      </c>
      <c r="I1335" t="s">
        <v>30</v>
      </c>
      <c r="J1335" t="s">
        <v>35</v>
      </c>
      <c r="K1335" t="s">
        <v>188</v>
      </c>
      <c r="L1335" t="s">
        <v>2631</v>
      </c>
      <c r="P1335">
        <v>928</v>
      </c>
      <c r="Q1335" t="s">
        <v>1031</v>
      </c>
      <c r="R1335">
        <v>8888.7999999999993</v>
      </c>
      <c r="S1335">
        <v>8888.7999999999993</v>
      </c>
      <c r="T1335">
        <v>0</v>
      </c>
      <c r="U1335" t="s">
        <v>34</v>
      </c>
    </row>
    <row r="1336" spans="1:24" x14ac:dyDescent="0.25">
      <c r="A1336">
        <f t="shared" ca="1" si="102"/>
        <v>0</v>
      </c>
      <c r="C1336">
        <f t="shared" ca="1" si="103"/>
        <v>0</v>
      </c>
      <c r="D1336" t="s">
        <v>35</v>
      </c>
      <c r="E1336" t="s">
        <v>184</v>
      </c>
      <c r="F1336">
        <v>921</v>
      </c>
      <c r="G1336" t="s">
        <v>334</v>
      </c>
      <c r="H1336" t="s">
        <v>2632</v>
      </c>
      <c r="I1336" t="s">
        <v>30</v>
      </c>
      <c r="J1336" t="s">
        <v>35</v>
      </c>
      <c r="K1336" t="s">
        <v>188</v>
      </c>
      <c r="L1336" t="s">
        <v>2633</v>
      </c>
      <c r="O1336">
        <v>4938842</v>
      </c>
      <c r="P1336">
        <v>6043</v>
      </c>
      <c r="Q1336" t="s">
        <v>2634</v>
      </c>
      <c r="R1336">
        <v>2424.4</v>
      </c>
      <c r="S1336">
        <v>2424.4</v>
      </c>
      <c r="T1336">
        <v>0</v>
      </c>
      <c r="U1336" t="s">
        <v>34</v>
      </c>
    </row>
    <row r="1337" spans="1:24" x14ac:dyDescent="0.25">
      <c r="A1337">
        <f t="shared" ca="1" si="102"/>
        <v>0</v>
      </c>
      <c r="C1337">
        <f t="shared" ca="1" si="103"/>
        <v>0</v>
      </c>
      <c r="D1337" t="s">
        <v>95</v>
      </c>
      <c r="E1337" t="s">
        <v>184</v>
      </c>
      <c r="F1337">
        <v>928</v>
      </c>
      <c r="G1337" t="s">
        <v>192</v>
      </c>
      <c r="H1337" t="s">
        <v>2635</v>
      </c>
      <c r="I1337" t="s">
        <v>30</v>
      </c>
      <c r="J1337" t="s">
        <v>95</v>
      </c>
      <c r="K1337" t="s">
        <v>188</v>
      </c>
      <c r="L1337" t="s">
        <v>2636</v>
      </c>
      <c r="P1337">
        <v>4193</v>
      </c>
      <c r="Q1337" t="s">
        <v>2637</v>
      </c>
      <c r="R1337">
        <v>639.22</v>
      </c>
      <c r="S1337">
        <v>639.22</v>
      </c>
      <c r="T1337">
        <v>0</v>
      </c>
      <c r="U1337" t="s">
        <v>34</v>
      </c>
    </row>
    <row r="1338" spans="1:24" x14ac:dyDescent="0.25">
      <c r="A1338">
        <f t="shared" ca="1" si="102"/>
        <v>0</v>
      </c>
      <c r="C1338">
        <f t="shared" ca="1" si="103"/>
        <v>0</v>
      </c>
      <c r="D1338" t="s">
        <v>368</v>
      </c>
      <c r="E1338" t="s">
        <v>184</v>
      </c>
      <c r="F1338">
        <v>1277</v>
      </c>
      <c r="G1338" t="s">
        <v>185</v>
      </c>
      <c r="H1338" t="s">
        <v>2638</v>
      </c>
      <c r="I1338" t="s">
        <v>187</v>
      </c>
      <c r="J1338" t="s">
        <v>368</v>
      </c>
      <c r="K1338" t="s">
        <v>188</v>
      </c>
      <c r="L1338" t="s">
        <v>2639</v>
      </c>
      <c r="O1338">
        <v>4910778</v>
      </c>
      <c r="P1338">
        <v>17125</v>
      </c>
      <c r="Q1338" t="s">
        <v>721</v>
      </c>
      <c r="R1338">
        <v>2612.5</v>
      </c>
      <c r="S1338">
        <v>2612.5</v>
      </c>
      <c r="T1338">
        <v>0</v>
      </c>
      <c r="U1338" t="s">
        <v>34</v>
      </c>
    </row>
    <row r="1339" spans="1:24" x14ac:dyDescent="0.25">
      <c r="A1339">
        <f t="shared" ca="1" si="102"/>
        <v>0</v>
      </c>
      <c r="C1339">
        <f t="shared" ca="1" si="103"/>
        <v>0</v>
      </c>
      <c r="D1339" t="s">
        <v>183</v>
      </c>
      <c r="E1339" t="s">
        <v>237</v>
      </c>
      <c r="F1339">
        <v>1842</v>
      </c>
      <c r="G1339" t="s">
        <v>887</v>
      </c>
      <c r="H1339" t="s">
        <v>2640</v>
      </c>
      <c r="I1339" t="s">
        <v>187</v>
      </c>
      <c r="J1339" t="s">
        <v>183</v>
      </c>
      <c r="K1339" t="s">
        <v>240</v>
      </c>
      <c r="L1339" t="s">
        <v>2641</v>
      </c>
      <c r="O1339">
        <v>5044366</v>
      </c>
      <c r="P1339">
        <v>16262</v>
      </c>
      <c r="Q1339" t="s">
        <v>697</v>
      </c>
      <c r="R1339">
        <v>2695</v>
      </c>
      <c r="S1339">
        <v>2695</v>
      </c>
      <c r="T1339">
        <v>0</v>
      </c>
      <c r="U1339" t="s">
        <v>34</v>
      </c>
      <c r="V1339" s="1">
        <v>46094</v>
      </c>
      <c r="W1339" s="1">
        <v>46094</v>
      </c>
      <c r="X1339" t="s">
        <v>2642</v>
      </c>
    </row>
    <row r="1340" spans="1:24" x14ac:dyDescent="0.25">
      <c r="A1340">
        <f t="shared" ca="1" si="102"/>
        <v>0</v>
      </c>
      <c r="C1340">
        <f t="shared" ca="1" si="103"/>
        <v>0</v>
      </c>
      <c r="D1340" t="s">
        <v>74</v>
      </c>
      <c r="E1340" t="s">
        <v>64</v>
      </c>
      <c r="F1340">
        <v>91</v>
      </c>
      <c r="G1340" t="s">
        <v>311</v>
      </c>
      <c r="H1340" t="s">
        <v>1761</v>
      </c>
      <c r="I1340" t="s">
        <v>30</v>
      </c>
      <c r="J1340" t="s">
        <v>74</v>
      </c>
      <c r="K1340" t="s">
        <v>67</v>
      </c>
      <c r="L1340" t="s">
        <v>2643</v>
      </c>
      <c r="M1340">
        <v>5000</v>
      </c>
      <c r="N1340">
        <v>137</v>
      </c>
      <c r="O1340">
        <v>5070055</v>
      </c>
      <c r="P1340">
        <v>6753</v>
      </c>
      <c r="Q1340" t="s">
        <v>2644</v>
      </c>
      <c r="R1340">
        <v>1572.67</v>
      </c>
      <c r="S1340">
        <v>1572.67</v>
      </c>
      <c r="T1340">
        <v>0</v>
      </c>
      <c r="U1340" t="s">
        <v>34</v>
      </c>
      <c r="V1340" s="1">
        <v>46196</v>
      </c>
      <c r="W1340" s="1">
        <v>46198</v>
      </c>
    </row>
    <row r="1341" spans="1:24" x14ac:dyDescent="0.25">
      <c r="A1341">
        <f t="shared" ca="1" si="102"/>
        <v>0</v>
      </c>
      <c r="C1341">
        <f t="shared" ca="1" si="103"/>
        <v>0</v>
      </c>
      <c r="D1341" t="s">
        <v>183</v>
      </c>
      <c r="E1341" t="s">
        <v>49</v>
      </c>
      <c r="F1341">
        <v>1641</v>
      </c>
      <c r="G1341" t="s">
        <v>263</v>
      </c>
      <c r="H1341" t="s">
        <v>2645</v>
      </c>
      <c r="I1341" t="s">
        <v>187</v>
      </c>
      <c r="J1341" t="s">
        <v>183</v>
      </c>
      <c r="K1341" t="s">
        <v>52</v>
      </c>
      <c r="L1341" t="s">
        <v>2646</v>
      </c>
      <c r="O1341">
        <v>5070788</v>
      </c>
      <c r="P1341">
        <v>17442</v>
      </c>
      <c r="Q1341" t="s">
        <v>913</v>
      </c>
      <c r="R1341">
        <v>1760</v>
      </c>
      <c r="S1341">
        <v>1760</v>
      </c>
      <c r="T1341">
        <v>0</v>
      </c>
      <c r="U1341" t="s">
        <v>34</v>
      </c>
      <c r="X1341" t="s">
        <v>2647</v>
      </c>
    </row>
    <row r="1342" spans="1:24" x14ac:dyDescent="0.25">
      <c r="A1342">
        <f t="shared" ca="1" si="102"/>
        <v>0</v>
      </c>
      <c r="C1342">
        <f t="shared" ca="1" si="103"/>
        <v>0</v>
      </c>
      <c r="D1342" t="s">
        <v>35</v>
      </c>
      <c r="E1342" t="s">
        <v>297</v>
      </c>
      <c r="F1342">
        <v>1353</v>
      </c>
      <c r="G1342" t="s">
        <v>372</v>
      </c>
      <c r="H1342" t="s">
        <v>2648</v>
      </c>
      <c r="I1342" t="s">
        <v>30</v>
      </c>
      <c r="J1342" t="s">
        <v>35</v>
      </c>
      <c r="K1342" t="s">
        <v>300</v>
      </c>
      <c r="L1342" t="s">
        <v>2649</v>
      </c>
      <c r="O1342">
        <v>5099380</v>
      </c>
      <c r="P1342">
        <v>3978</v>
      </c>
      <c r="Q1342" t="s">
        <v>484</v>
      </c>
      <c r="R1342">
        <v>3641</v>
      </c>
      <c r="S1342">
        <v>3641</v>
      </c>
      <c r="T1342">
        <v>0</v>
      </c>
      <c r="U1342" t="s">
        <v>34</v>
      </c>
      <c r="V1342" s="1">
        <v>46223</v>
      </c>
      <c r="W1342" s="1">
        <v>46225</v>
      </c>
    </row>
    <row r="1343" spans="1:24" x14ac:dyDescent="0.25">
      <c r="A1343">
        <f t="shared" ca="1" si="102"/>
        <v>0</v>
      </c>
      <c r="C1343">
        <f t="shared" ca="1" si="103"/>
        <v>0</v>
      </c>
      <c r="D1343" t="s">
        <v>236</v>
      </c>
      <c r="E1343" t="s">
        <v>237</v>
      </c>
      <c r="F1343">
        <v>308</v>
      </c>
      <c r="G1343" t="s">
        <v>471</v>
      </c>
      <c r="H1343" t="s">
        <v>2650</v>
      </c>
      <c r="I1343" t="s">
        <v>44</v>
      </c>
      <c r="J1343" t="s">
        <v>236</v>
      </c>
      <c r="K1343" t="s">
        <v>240</v>
      </c>
      <c r="L1343" t="s">
        <v>241</v>
      </c>
      <c r="O1343">
        <v>5118630</v>
      </c>
      <c r="P1343">
        <v>4551</v>
      </c>
      <c r="Q1343" t="s">
        <v>461</v>
      </c>
      <c r="R1343">
        <v>1537.8</v>
      </c>
      <c r="T1343">
        <v>1537.8</v>
      </c>
    </row>
    <row r="1344" spans="1:24" x14ac:dyDescent="0.25">
      <c r="A1344">
        <f t="shared" ca="1" si="102"/>
        <v>0</v>
      </c>
      <c r="C1344">
        <f t="shared" ca="1" si="103"/>
        <v>0</v>
      </c>
      <c r="D1344" t="s">
        <v>236</v>
      </c>
      <c r="E1344" t="s">
        <v>237</v>
      </c>
      <c r="F1344">
        <v>85</v>
      </c>
      <c r="G1344" t="s">
        <v>618</v>
      </c>
      <c r="H1344" t="s">
        <v>2651</v>
      </c>
      <c r="I1344" t="s">
        <v>44</v>
      </c>
      <c r="J1344" t="s">
        <v>236</v>
      </c>
      <c r="K1344" t="s">
        <v>240</v>
      </c>
      <c r="L1344" t="s">
        <v>241</v>
      </c>
      <c r="O1344">
        <v>5118643</v>
      </c>
      <c r="P1344">
        <v>6364</v>
      </c>
      <c r="Q1344" t="s">
        <v>331</v>
      </c>
      <c r="R1344">
        <v>1280.3</v>
      </c>
      <c r="T1344">
        <v>1280.3</v>
      </c>
    </row>
    <row r="1345" spans="1:24" x14ac:dyDescent="0.25">
      <c r="A1345">
        <f t="shared" ca="1" si="102"/>
        <v>0</v>
      </c>
      <c r="C1345">
        <f t="shared" ca="1" si="103"/>
        <v>0</v>
      </c>
      <c r="D1345" t="s">
        <v>41</v>
      </c>
      <c r="E1345" t="s">
        <v>49</v>
      </c>
      <c r="F1345">
        <v>1775</v>
      </c>
      <c r="G1345" t="s">
        <v>692</v>
      </c>
      <c r="H1345" t="s">
        <v>2652</v>
      </c>
      <c r="I1345" t="s">
        <v>44</v>
      </c>
      <c r="J1345" t="s">
        <v>41</v>
      </c>
      <c r="K1345" t="s">
        <v>52</v>
      </c>
      <c r="L1345" t="s">
        <v>2653</v>
      </c>
      <c r="O1345">
        <v>5038584</v>
      </c>
      <c r="P1345">
        <v>4921</v>
      </c>
      <c r="Q1345" t="s">
        <v>94</v>
      </c>
      <c r="R1345">
        <v>4519.2</v>
      </c>
      <c r="S1345">
        <v>4519.2</v>
      </c>
      <c r="T1345">
        <v>0</v>
      </c>
      <c r="U1345" t="s">
        <v>34</v>
      </c>
      <c r="V1345" s="1">
        <v>46146</v>
      </c>
      <c r="W1345" s="1">
        <v>46155</v>
      </c>
      <c r="X1345" t="s">
        <v>56</v>
      </c>
    </row>
    <row r="1346" spans="1:24" x14ac:dyDescent="0.25">
      <c r="A1346">
        <f t="shared" ca="1" si="102"/>
        <v>0</v>
      </c>
      <c r="C1346">
        <f t="shared" ca="1" si="103"/>
        <v>0</v>
      </c>
      <c r="D1346" t="s">
        <v>203</v>
      </c>
      <c r="E1346" t="s">
        <v>49</v>
      </c>
      <c r="F1346">
        <v>974</v>
      </c>
      <c r="G1346" t="s">
        <v>228</v>
      </c>
      <c r="H1346" t="s">
        <v>2654</v>
      </c>
      <c r="I1346" t="s">
        <v>44</v>
      </c>
      <c r="J1346" t="s">
        <v>203</v>
      </c>
      <c r="K1346" t="s">
        <v>52</v>
      </c>
      <c r="L1346" t="s">
        <v>927</v>
      </c>
      <c r="M1346">
        <v>10000</v>
      </c>
      <c r="N1346">
        <v>675</v>
      </c>
      <c r="O1346">
        <v>5038630</v>
      </c>
      <c r="P1346">
        <v>7669</v>
      </c>
      <c r="Q1346" t="s">
        <v>261</v>
      </c>
      <c r="R1346">
        <v>3832.62</v>
      </c>
      <c r="T1346">
        <v>3832.62</v>
      </c>
      <c r="U1346" t="s">
        <v>40</v>
      </c>
      <c r="V1346" s="1">
        <v>46258</v>
      </c>
      <c r="W1346" s="1">
        <v>46276</v>
      </c>
      <c r="X1346" t="s">
        <v>56</v>
      </c>
    </row>
    <row r="1347" spans="1:24" x14ac:dyDescent="0.25">
      <c r="A1347">
        <f t="shared" ca="1" si="102"/>
        <v>0</v>
      </c>
      <c r="C1347">
        <f t="shared" ca="1" si="103"/>
        <v>0</v>
      </c>
      <c r="D1347" t="s">
        <v>203</v>
      </c>
      <c r="E1347" t="s">
        <v>49</v>
      </c>
      <c r="F1347">
        <v>974</v>
      </c>
      <c r="G1347" t="s">
        <v>228</v>
      </c>
      <c r="H1347" t="s">
        <v>2303</v>
      </c>
      <c r="I1347" t="s">
        <v>44</v>
      </c>
      <c r="J1347" t="s">
        <v>203</v>
      </c>
      <c r="K1347" t="s">
        <v>52</v>
      </c>
      <c r="L1347" t="s">
        <v>927</v>
      </c>
      <c r="M1347">
        <v>10000</v>
      </c>
      <c r="N1347">
        <v>675</v>
      </c>
      <c r="O1347">
        <v>5038637</v>
      </c>
      <c r="P1347">
        <v>7669</v>
      </c>
      <c r="Q1347" t="s">
        <v>261</v>
      </c>
      <c r="R1347">
        <v>4100.6000000000004</v>
      </c>
      <c r="T1347">
        <v>4100.6000000000004</v>
      </c>
      <c r="U1347" t="s">
        <v>40</v>
      </c>
      <c r="V1347" s="1">
        <v>46258</v>
      </c>
      <c r="W1347" s="1">
        <v>46276</v>
      </c>
      <c r="X1347" t="s">
        <v>56</v>
      </c>
    </row>
    <row r="1348" spans="1:24" x14ac:dyDescent="0.25">
      <c r="A1348">
        <f t="shared" ca="1" si="102"/>
        <v>0</v>
      </c>
      <c r="C1348">
        <f t="shared" ca="1" si="103"/>
        <v>0</v>
      </c>
      <c r="D1348" t="s">
        <v>41</v>
      </c>
      <c r="E1348" t="s">
        <v>49</v>
      </c>
      <c r="F1348">
        <v>974</v>
      </c>
      <c r="G1348" t="s">
        <v>228</v>
      </c>
      <c r="H1348" t="s">
        <v>2655</v>
      </c>
      <c r="I1348" t="s">
        <v>44</v>
      </c>
      <c r="J1348" t="s">
        <v>41</v>
      </c>
      <c r="K1348" t="s">
        <v>52</v>
      </c>
      <c r="L1348" t="s">
        <v>2656</v>
      </c>
      <c r="O1348">
        <v>5038706</v>
      </c>
      <c r="P1348">
        <v>5978</v>
      </c>
      <c r="Q1348" t="s">
        <v>54</v>
      </c>
      <c r="R1348">
        <v>2708.1</v>
      </c>
      <c r="T1348">
        <v>2708.1</v>
      </c>
      <c r="X1348" t="s">
        <v>2657</v>
      </c>
    </row>
    <row r="1349" spans="1:24" x14ac:dyDescent="0.25">
      <c r="A1349" t="s">
        <v>56</v>
      </c>
    </row>
    <row r="1350" spans="1:24" x14ac:dyDescent="0.25">
      <c r="A1350">
        <f t="shared" ref="A1350:A1380" ca="1" si="104">+ Cmde</f>
        <v>0</v>
      </c>
      <c r="C1350">
        <f t="shared" ref="C1350:C1380" ca="1" si="105">+ Devis</f>
        <v>0</v>
      </c>
      <c r="D1350" t="s">
        <v>35</v>
      </c>
      <c r="E1350" t="s">
        <v>64</v>
      </c>
      <c r="F1350">
        <v>103</v>
      </c>
      <c r="G1350" t="s">
        <v>588</v>
      </c>
      <c r="H1350" t="s">
        <v>589</v>
      </c>
      <c r="I1350" t="s">
        <v>30</v>
      </c>
      <c r="J1350" t="s">
        <v>35</v>
      </c>
      <c r="K1350" t="s">
        <v>67</v>
      </c>
      <c r="L1350" t="s">
        <v>590</v>
      </c>
      <c r="M1350">
        <v>8000</v>
      </c>
      <c r="N1350">
        <v>165</v>
      </c>
      <c r="O1350">
        <v>5044464</v>
      </c>
      <c r="P1350">
        <v>4983</v>
      </c>
      <c r="Q1350" t="s">
        <v>2587</v>
      </c>
      <c r="R1350">
        <v>5243.44</v>
      </c>
      <c r="T1350">
        <v>5243.44</v>
      </c>
      <c r="U1350" t="s">
        <v>40</v>
      </c>
      <c r="V1350" s="1">
        <v>46087</v>
      </c>
      <c r="W1350" s="1">
        <v>46089</v>
      </c>
    </row>
    <row r="1351" spans="1:24" x14ac:dyDescent="0.25">
      <c r="A1351">
        <f t="shared" ca="1" si="104"/>
        <v>0</v>
      </c>
      <c r="C1351">
        <f t="shared" ca="1" si="105"/>
        <v>0</v>
      </c>
      <c r="D1351" t="s">
        <v>26</v>
      </c>
      <c r="E1351" t="s">
        <v>49</v>
      </c>
      <c r="F1351">
        <v>499</v>
      </c>
      <c r="G1351" t="s">
        <v>228</v>
      </c>
      <c r="H1351" t="s">
        <v>2658</v>
      </c>
      <c r="I1351" t="s">
        <v>30</v>
      </c>
      <c r="J1351" t="s">
        <v>26</v>
      </c>
      <c r="K1351" t="s">
        <v>52</v>
      </c>
      <c r="L1351" t="s">
        <v>2659</v>
      </c>
      <c r="O1351">
        <v>5054727</v>
      </c>
      <c r="P1351">
        <v>81</v>
      </c>
      <c r="Q1351" t="s">
        <v>102</v>
      </c>
      <c r="R1351">
        <v>2189.9</v>
      </c>
      <c r="S1351">
        <v>2189.9</v>
      </c>
      <c r="T1351">
        <v>0</v>
      </c>
      <c r="U1351" t="s">
        <v>34</v>
      </c>
      <c r="V1351" s="1">
        <v>46160</v>
      </c>
      <c r="W1351" s="1">
        <v>46164</v>
      </c>
    </row>
    <row r="1352" spans="1:24" x14ac:dyDescent="0.25">
      <c r="A1352">
        <f t="shared" ca="1" si="104"/>
        <v>0</v>
      </c>
      <c r="C1352">
        <f t="shared" ca="1" si="105"/>
        <v>0</v>
      </c>
      <c r="D1352" t="s">
        <v>35</v>
      </c>
      <c r="E1352" t="s">
        <v>245</v>
      </c>
      <c r="F1352">
        <v>989</v>
      </c>
      <c r="G1352" t="s">
        <v>246</v>
      </c>
      <c r="H1352" t="s">
        <v>2660</v>
      </c>
      <c r="I1352" t="s">
        <v>30</v>
      </c>
      <c r="J1352" t="s">
        <v>35</v>
      </c>
      <c r="K1352" t="s">
        <v>188</v>
      </c>
      <c r="L1352" t="s">
        <v>2661</v>
      </c>
      <c r="O1352">
        <v>5077123</v>
      </c>
      <c r="P1352">
        <v>5359</v>
      </c>
      <c r="Q1352" t="s">
        <v>249</v>
      </c>
      <c r="R1352">
        <v>2640</v>
      </c>
      <c r="S1352">
        <v>2640</v>
      </c>
      <c r="T1352">
        <v>0</v>
      </c>
      <c r="U1352" t="s">
        <v>34</v>
      </c>
    </row>
    <row r="1353" spans="1:24" x14ac:dyDescent="0.25">
      <c r="A1353">
        <f t="shared" ca="1" si="104"/>
        <v>0</v>
      </c>
      <c r="C1353">
        <f t="shared" ca="1" si="105"/>
        <v>0</v>
      </c>
      <c r="D1353" t="s">
        <v>35</v>
      </c>
      <c r="E1353" t="s">
        <v>27</v>
      </c>
      <c r="F1353">
        <v>763</v>
      </c>
      <c r="G1353" t="s">
        <v>36</v>
      </c>
      <c r="H1353" t="s">
        <v>158</v>
      </c>
      <c r="I1353" t="s">
        <v>30</v>
      </c>
      <c r="J1353" t="s">
        <v>35</v>
      </c>
      <c r="K1353" t="s">
        <v>31</v>
      </c>
      <c r="L1353" t="s">
        <v>2662</v>
      </c>
      <c r="M1353">
        <v>5000</v>
      </c>
      <c r="N1353">
        <v>430</v>
      </c>
      <c r="O1353">
        <v>5085891</v>
      </c>
      <c r="P1353">
        <v>3718</v>
      </c>
      <c r="Q1353" t="s">
        <v>113</v>
      </c>
      <c r="R1353">
        <v>1630.02</v>
      </c>
      <c r="T1353">
        <v>1630.02</v>
      </c>
      <c r="U1353" t="s">
        <v>40</v>
      </c>
      <c r="V1353" s="1">
        <v>46272</v>
      </c>
      <c r="W1353" s="1">
        <v>46276</v>
      </c>
    </row>
    <row r="1354" spans="1:24" x14ac:dyDescent="0.25">
      <c r="A1354">
        <f t="shared" ca="1" si="104"/>
        <v>0</v>
      </c>
      <c r="C1354">
        <f t="shared" ca="1" si="105"/>
        <v>0</v>
      </c>
      <c r="D1354" t="s">
        <v>74</v>
      </c>
      <c r="E1354" t="s">
        <v>58</v>
      </c>
      <c r="F1354">
        <v>1411</v>
      </c>
      <c r="G1354" t="s">
        <v>747</v>
      </c>
      <c r="H1354" t="s">
        <v>1249</v>
      </c>
      <c r="I1354" t="s">
        <v>30</v>
      </c>
      <c r="J1354" t="s">
        <v>74</v>
      </c>
      <c r="K1354" t="s">
        <v>61</v>
      </c>
      <c r="L1354" t="s">
        <v>2663</v>
      </c>
      <c r="M1354">
        <v>35000</v>
      </c>
      <c r="N1354">
        <v>263</v>
      </c>
      <c r="O1354">
        <v>5093009</v>
      </c>
      <c r="P1354">
        <v>1</v>
      </c>
      <c r="Q1354" t="s">
        <v>636</v>
      </c>
    </row>
    <row r="1355" spans="1:24" x14ac:dyDescent="0.25">
      <c r="A1355">
        <f t="shared" ca="1" si="104"/>
        <v>0</v>
      </c>
      <c r="C1355">
        <f t="shared" ca="1" si="105"/>
        <v>0</v>
      </c>
      <c r="D1355" t="s">
        <v>95</v>
      </c>
      <c r="E1355" t="s">
        <v>297</v>
      </c>
      <c r="F1355">
        <v>2001</v>
      </c>
      <c r="G1355" t="s">
        <v>372</v>
      </c>
      <c r="H1355" t="s">
        <v>2664</v>
      </c>
      <c r="I1355" t="s">
        <v>30</v>
      </c>
      <c r="J1355" t="s">
        <v>95</v>
      </c>
      <c r="K1355" t="s">
        <v>300</v>
      </c>
      <c r="L1355" t="s">
        <v>2665</v>
      </c>
      <c r="O1355">
        <v>5114684</v>
      </c>
      <c r="P1355">
        <v>31163</v>
      </c>
      <c r="Q1355" t="s">
        <v>2666</v>
      </c>
      <c r="R1355">
        <v>1658.14</v>
      </c>
      <c r="T1355">
        <v>1658.14</v>
      </c>
      <c r="U1355" t="s">
        <v>40</v>
      </c>
      <c r="V1355" s="1">
        <v>46258</v>
      </c>
      <c r="W1355" s="1">
        <v>46260</v>
      </c>
    </row>
    <row r="1356" spans="1:24" x14ac:dyDescent="0.25">
      <c r="A1356">
        <f t="shared" ca="1" si="104"/>
        <v>0</v>
      </c>
      <c r="C1356">
        <f t="shared" ca="1" si="105"/>
        <v>0</v>
      </c>
      <c r="D1356" t="s">
        <v>41</v>
      </c>
      <c r="E1356" t="s">
        <v>58</v>
      </c>
      <c r="F1356">
        <v>133</v>
      </c>
      <c r="G1356" t="s">
        <v>426</v>
      </c>
      <c r="H1356" t="s">
        <v>1958</v>
      </c>
      <c r="I1356" t="s">
        <v>44</v>
      </c>
      <c r="J1356" t="s">
        <v>41</v>
      </c>
      <c r="K1356" t="s">
        <v>215</v>
      </c>
      <c r="L1356" t="s">
        <v>2667</v>
      </c>
      <c r="M1356">
        <v>4000</v>
      </c>
      <c r="N1356">
        <v>222</v>
      </c>
      <c r="O1356">
        <v>5122561</v>
      </c>
      <c r="P1356">
        <v>4921</v>
      </c>
      <c r="Q1356" t="s">
        <v>94</v>
      </c>
      <c r="R1356">
        <v>6237.67</v>
      </c>
      <c r="T1356">
        <v>6237.67</v>
      </c>
    </row>
    <row r="1357" spans="1:24" x14ac:dyDescent="0.25">
      <c r="A1357">
        <f t="shared" ca="1" si="104"/>
        <v>0</v>
      </c>
      <c r="C1357">
        <f t="shared" ca="1" si="105"/>
        <v>0</v>
      </c>
      <c r="D1357" t="s">
        <v>74</v>
      </c>
      <c r="E1357" t="s">
        <v>58</v>
      </c>
      <c r="F1357">
        <v>1428</v>
      </c>
      <c r="G1357" t="s">
        <v>747</v>
      </c>
      <c r="H1357" t="s">
        <v>1206</v>
      </c>
      <c r="I1357" t="s">
        <v>30</v>
      </c>
      <c r="J1357" t="s">
        <v>74</v>
      </c>
      <c r="K1357" t="s">
        <v>61</v>
      </c>
      <c r="L1357" t="s">
        <v>2668</v>
      </c>
      <c r="M1357">
        <v>78000</v>
      </c>
      <c r="N1357">
        <v>264</v>
      </c>
      <c r="O1357">
        <v>5122595</v>
      </c>
      <c r="P1357">
        <v>39</v>
      </c>
      <c r="Q1357" t="s">
        <v>779</v>
      </c>
    </row>
    <row r="1358" spans="1:24" x14ac:dyDescent="0.25">
      <c r="A1358">
        <f t="shared" ca="1" si="104"/>
        <v>0</v>
      </c>
      <c r="C1358">
        <f t="shared" ca="1" si="105"/>
        <v>0</v>
      </c>
      <c r="D1358" t="s">
        <v>35</v>
      </c>
      <c r="E1358" t="s">
        <v>297</v>
      </c>
      <c r="F1358">
        <v>1352</v>
      </c>
      <c r="G1358" t="s">
        <v>359</v>
      </c>
      <c r="H1358" t="s">
        <v>478</v>
      </c>
      <c r="I1358" t="s">
        <v>30</v>
      </c>
      <c r="J1358" t="s">
        <v>35</v>
      </c>
      <c r="K1358" t="s">
        <v>300</v>
      </c>
      <c r="L1358" t="s">
        <v>435</v>
      </c>
      <c r="M1358">
        <v>4000</v>
      </c>
      <c r="N1358">
        <v>507</v>
      </c>
      <c r="O1358">
        <v>5037036</v>
      </c>
      <c r="P1358">
        <v>21225</v>
      </c>
      <c r="Q1358" t="s">
        <v>367</v>
      </c>
      <c r="R1358">
        <v>1533.81</v>
      </c>
      <c r="S1358">
        <v>1533.81</v>
      </c>
      <c r="T1358">
        <v>0</v>
      </c>
      <c r="U1358" t="s">
        <v>34</v>
      </c>
      <c r="V1358" s="1">
        <v>46073</v>
      </c>
      <c r="W1358" s="1">
        <v>46077</v>
      </c>
    </row>
    <row r="1359" spans="1:24" x14ac:dyDescent="0.25">
      <c r="A1359">
        <f t="shared" ca="1" si="104"/>
        <v>0</v>
      </c>
      <c r="C1359">
        <f t="shared" ca="1" si="105"/>
        <v>0</v>
      </c>
      <c r="D1359" t="s">
        <v>41</v>
      </c>
      <c r="E1359" t="s">
        <v>49</v>
      </c>
      <c r="F1359">
        <v>895</v>
      </c>
      <c r="G1359" t="s">
        <v>263</v>
      </c>
      <c r="H1359" t="s">
        <v>2669</v>
      </c>
      <c r="I1359" t="s">
        <v>44</v>
      </c>
      <c r="J1359" t="s">
        <v>41</v>
      </c>
      <c r="K1359" t="s">
        <v>52</v>
      </c>
      <c r="L1359" t="s">
        <v>2670</v>
      </c>
      <c r="M1359">
        <v>8000</v>
      </c>
      <c r="N1359">
        <v>673</v>
      </c>
      <c r="O1359">
        <v>5042360</v>
      </c>
      <c r="P1359">
        <v>5978</v>
      </c>
      <c r="Q1359" t="s">
        <v>54</v>
      </c>
      <c r="R1359">
        <v>7082.9</v>
      </c>
      <c r="S1359">
        <v>7082.9</v>
      </c>
      <c r="T1359">
        <v>0</v>
      </c>
      <c r="U1359" t="s">
        <v>34</v>
      </c>
      <c r="V1359" s="1">
        <v>46204</v>
      </c>
      <c r="W1359" s="1">
        <v>46213</v>
      </c>
      <c r="X1359" t="s">
        <v>56</v>
      </c>
    </row>
    <row r="1360" spans="1:24" x14ac:dyDescent="0.25">
      <c r="A1360">
        <f t="shared" ca="1" si="104"/>
        <v>0</v>
      </c>
      <c r="C1360">
        <f t="shared" ca="1" si="105"/>
        <v>0</v>
      </c>
      <c r="D1360" t="s">
        <v>183</v>
      </c>
      <c r="E1360" t="s">
        <v>184</v>
      </c>
      <c r="F1360">
        <v>907</v>
      </c>
      <c r="G1360" t="s">
        <v>192</v>
      </c>
      <c r="H1360" t="s">
        <v>193</v>
      </c>
      <c r="I1360" t="s">
        <v>187</v>
      </c>
      <c r="J1360" t="s">
        <v>183</v>
      </c>
      <c r="K1360" t="s">
        <v>188</v>
      </c>
      <c r="L1360" t="s">
        <v>2671</v>
      </c>
      <c r="M1360">
        <v>15000</v>
      </c>
      <c r="N1360">
        <v>443</v>
      </c>
      <c r="P1360">
        <v>5502</v>
      </c>
      <c r="Q1360" t="s">
        <v>195</v>
      </c>
      <c r="R1360">
        <v>5379.77</v>
      </c>
      <c r="S1360">
        <v>5379.77</v>
      </c>
      <c r="T1360">
        <v>0</v>
      </c>
      <c r="U1360" t="s">
        <v>34</v>
      </c>
    </row>
    <row r="1361" spans="1:26" x14ac:dyDescent="0.25">
      <c r="A1361">
        <f t="shared" ca="1" si="104"/>
        <v>0</v>
      </c>
      <c r="C1361">
        <f t="shared" ca="1" si="105"/>
        <v>0</v>
      </c>
      <c r="D1361" t="s">
        <v>183</v>
      </c>
      <c r="E1361" t="s">
        <v>184</v>
      </c>
      <c r="F1361">
        <v>907</v>
      </c>
      <c r="G1361" t="s">
        <v>192</v>
      </c>
      <c r="H1361" t="s">
        <v>2672</v>
      </c>
      <c r="I1361" t="s">
        <v>187</v>
      </c>
      <c r="J1361" t="s">
        <v>183</v>
      </c>
      <c r="K1361" t="s">
        <v>188</v>
      </c>
      <c r="L1361" t="s">
        <v>2673</v>
      </c>
      <c r="M1361">
        <v>15000</v>
      </c>
      <c r="N1361">
        <v>443</v>
      </c>
      <c r="P1361">
        <v>5502</v>
      </c>
      <c r="Q1361" t="s">
        <v>195</v>
      </c>
      <c r="R1361">
        <v>5379.77</v>
      </c>
      <c r="S1361">
        <v>5379.77</v>
      </c>
      <c r="T1361">
        <v>0</v>
      </c>
      <c r="U1361" t="s">
        <v>34</v>
      </c>
    </row>
    <row r="1362" spans="1:26" x14ac:dyDescent="0.25">
      <c r="A1362">
        <f t="shared" ca="1" si="104"/>
        <v>0</v>
      </c>
      <c r="C1362">
        <f t="shared" ca="1" si="105"/>
        <v>0</v>
      </c>
      <c r="D1362" t="s">
        <v>35</v>
      </c>
      <c r="E1362" t="s">
        <v>27</v>
      </c>
      <c r="F1362">
        <v>763</v>
      </c>
      <c r="G1362" t="s">
        <v>36</v>
      </c>
      <c r="H1362" t="s">
        <v>158</v>
      </c>
      <c r="I1362" t="s">
        <v>30</v>
      </c>
      <c r="J1362" t="s">
        <v>35</v>
      </c>
      <c r="K1362" t="s">
        <v>31</v>
      </c>
      <c r="L1362" t="s">
        <v>2674</v>
      </c>
      <c r="O1362">
        <v>5047281</v>
      </c>
      <c r="P1362">
        <v>483</v>
      </c>
      <c r="Q1362" t="s">
        <v>162</v>
      </c>
      <c r="R1362">
        <v>10965.76</v>
      </c>
      <c r="S1362">
        <v>10965.76</v>
      </c>
      <c r="T1362">
        <v>0</v>
      </c>
      <c r="U1362" t="s">
        <v>40</v>
      </c>
      <c r="V1362" s="1">
        <v>46104</v>
      </c>
      <c r="W1362" s="1">
        <v>46108</v>
      </c>
      <c r="X1362" t="s">
        <v>2675</v>
      </c>
    </row>
    <row r="1363" spans="1:26" x14ac:dyDescent="0.25">
      <c r="A1363">
        <f t="shared" ca="1" si="104"/>
        <v>0</v>
      </c>
      <c r="C1363">
        <f t="shared" ca="1" si="105"/>
        <v>0</v>
      </c>
      <c r="D1363" t="s">
        <v>26</v>
      </c>
      <c r="E1363" t="s">
        <v>58</v>
      </c>
      <c r="F1363">
        <v>133</v>
      </c>
      <c r="G1363" t="s">
        <v>426</v>
      </c>
      <c r="H1363" t="s">
        <v>436</v>
      </c>
      <c r="I1363" t="s">
        <v>30</v>
      </c>
      <c r="J1363" t="s">
        <v>26</v>
      </c>
      <c r="K1363" t="s">
        <v>215</v>
      </c>
      <c r="L1363" t="s">
        <v>2676</v>
      </c>
      <c r="M1363">
        <v>13000</v>
      </c>
      <c r="N1363">
        <v>241</v>
      </c>
      <c r="O1363">
        <v>5061209</v>
      </c>
      <c r="P1363">
        <v>81</v>
      </c>
      <c r="Q1363" t="s">
        <v>102</v>
      </c>
    </row>
    <row r="1364" spans="1:26" x14ac:dyDescent="0.25">
      <c r="A1364">
        <f t="shared" ca="1" si="104"/>
        <v>0</v>
      </c>
      <c r="C1364">
        <f t="shared" ca="1" si="105"/>
        <v>0</v>
      </c>
      <c r="D1364" t="s">
        <v>41</v>
      </c>
      <c r="E1364" t="s">
        <v>27</v>
      </c>
      <c r="F1364">
        <v>949</v>
      </c>
      <c r="G1364" t="s">
        <v>75</v>
      </c>
      <c r="H1364" t="s">
        <v>2677</v>
      </c>
      <c r="I1364" t="s">
        <v>44</v>
      </c>
      <c r="J1364" t="s">
        <v>41</v>
      </c>
      <c r="K1364" t="s">
        <v>31</v>
      </c>
      <c r="L1364" t="s">
        <v>2678</v>
      </c>
      <c r="O1364">
        <v>5086561</v>
      </c>
      <c r="P1364">
        <v>25204</v>
      </c>
      <c r="Q1364" t="s">
        <v>46</v>
      </c>
      <c r="R1364">
        <v>2543.2199999999998</v>
      </c>
      <c r="S1364">
        <v>2543.2199999999998</v>
      </c>
      <c r="T1364">
        <v>0</v>
      </c>
      <c r="U1364" t="s">
        <v>34</v>
      </c>
      <c r="V1364" s="1">
        <v>46204</v>
      </c>
      <c r="W1364" s="1">
        <v>46205</v>
      </c>
    </row>
    <row r="1365" spans="1:26" x14ac:dyDescent="0.25">
      <c r="A1365">
        <f t="shared" ca="1" si="104"/>
        <v>0</v>
      </c>
      <c r="C1365">
        <f t="shared" ca="1" si="105"/>
        <v>0</v>
      </c>
      <c r="D1365" t="s">
        <v>41</v>
      </c>
      <c r="E1365" t="s">
        <v>27</v>
      </c>
      <c r="F1365">
        <v>248</v>
      </c>
      <c r="G1365" t="s">
        <v>1078</v>
      </c>
      <c r="H1365" t="s">
        <v>2679</v>
      </c>
      <c r="I1365" t="s">
        <v>44</v>
      </c>
      <c r="J1365" t="s">
        <v>41</v>
      </c>
      <c r="K1365" t="s">
        <v>31</v>
      </c>
      <c r="L1365" t="s">
        <v>2680</v>
      </c>
      <c r="O1365">
        <v>5086959</v>
      </c>
      <c r="P1365">
        <v>14203</v>
      </c>
      <c r="Q1365" t="s">
        <v>1189</v>
      </c>
      <c r="R1365">
        <v>5011.6000000000004</v>
      </c>
      <c r="T1365">
        <v>5011.6000000000004</v>
      </c>
      <c r="U1365" t="s">
        <v>40</v>
      </c>
      <c r="V1365" s="1">
        <v>46266</v>
      </c>
      <c r="W1365" s="1">
        <v>46336</v>
      </c>
    </row>
    <row r="1366" spans="1:26" x14ac:dyDescent="0.25">
      <c r="A1366">
        <f t="shared" ca="1" si="104"/>
        <v>0</v>
      </c>
      <c r="C1366">
        <f t="shared" ca="1" si="105"/>
        <v>0</v>
      </c>
      <c r="D1366" t="s">
        <v>41</v>
      </c>
      <c r="E1366" t="s">
        <v>58</v>
      </c>
      <c r="F1366">
        <v>1103</v>
      </c>
      <c r="G1366" t="s">
        <v>602</v>
      </c>
      <c r="H1366" t="s">
        <v>1872</v>
      </c>
      <c r="I1366" t="s">
        <v>44</v>
      </c>
      <c r="J1366" t="s">
        <v>41</v>
      </c>
      <c r="K1366" t="s">
        <v>61</v>
      </c>
      <c r="L1366" t="s">
        <v>2681</v>
      </c>
      <c r="M1366">
        <v>17000</v>
      </c>
      <c r="N1366">
        <v>201</v>
      </c>
      <c r="O1366">
        <v>5028713</v>
      </c>
      <c r="P1366">
        <v>4921</v>
      </c>
      <c r="Q1366" t="s">
        <v>94</v>
      </c>
      <c r="R1366">
        <v>12079.22</v>
      </c>
      <c r="T1366">
        <v>12079.22</v>
      </c>
      <c r="U1366" t="s">
        <v>34</v>
      </c>
      <c r="X1366" t="s">
        <v>296</v>
      </c>
    </row>
    <row r="1367" spans="1:26" x14ac:dyDescent="0.25">
      <c r="A1367">
        <f t="shared" ca="1" si="104"/>
        <v>0</v>
      </c>
      <c r="C1367">
        <f t="shared" ca="1" si="105"/>
        <v>0</v>
      </c>
      <c r="D1367" t="s">
        <v>196</v>
      </c>
      <c r="E1367" t="s">
        <v>58</v>
      </c>
      <c r="F1367">
        <v>847</v>
      </c>
      <c r="G1367" t="s">
        <v>224</v>
      </c>
      <c r="H1367" t="s">
        <v>1295</v>
      </c>
      <c r="I1367" t="s">
        <v>187</v>
      </c>
      <c r="J1367" t="s">
        <v>196</v>
      </c>
      <c r="K1367" t="s">
        <v>61</v>
      </c>
      <c r="L1367" t="s">
        <v>2682</v>
      </c>
      <c r="M1367">
        <v>5000</v>
      </c>
      <c r="N1367">
        <v>186</v>
      </c>
      <c r="O1367">
        <v>5028733</v>
      </c>
      <c r="P1367">
        <v>8598</v>
      </c>
      <c r="Q1367" t="s">
        <v>78</v>
      </c>
      <c r="R1367">
        <v>26570.5</v>
      </c>
      <c r="T1367">
        <v>26570.5</v>
      </c>
      <c r="U1367" t="s">
        <v>40</v>
      </c>
      <c r="V1367" s="1">
        <v>46174</v>
      </c>
      <c r="W1367" s="1">
        <v>46203</v>
      </c>
      <c r="X1367" t="s">
        <v>593</v>
      </c>
      <c r="Y1367" t="s">
        <v>104</v>
      </c>
      <c r="Z1367" s="1">
        <v>46121</v>
      </c>
    </row>
    <row r="1368" spans="1:26" x14ac:dyDescent="0.25">
      <c r="A1368">
        <f t="shared" ca="1" si="104"/>
        <v>0</v>
      </c>
      <c r="C1368">
        <f t="shared" ca="1" si="105"/>
        <v>0</v>
      </c>
      <c r="D1368" t="s">
        <v>183</v>
      </c>
      <c r="E1368" t="s">
        <v>58</v>
      </c>
      <c r="F1368">
        <v>847</v>
      </c>
      <c r="G1368" t="s">
        <v>224</v>
      </c>
      <c r="H1368" t="s">
        <v>1295</v>
      </c>
      <c r="I1368" t="s">
        <v>187</v>
      </c>
      <c r="J1368" t="s">
        <v>183</v>
      </c>
      <c r="K1368" t="s">
        <v>61</v>
      </c>
      <c r="L1368" t="s">
        <v>1296</v>
      </c>
      <c r="M1368">
        <v>5000</v>
      </c>
      <c r="N1368">
        <v>185</v>
      </c>
      <c r="O1368">
        <v>5028754</v>
      </c>
      <c r="P1368">
        <v>8598</v>
      </c>
      <c r="Q1368" t="s">
        <v>78</v>
      </c>
      <c r="R1368">
        <v>10439</v>
      </c>
      <c r="T1368">
        <v>10439</v>
      </c>
      <c r="U1368" t="s">
        <v>40</v>
      </c>
      <c r="V1368" s="1">
        <v>46174</v>
      </c>
      <c r="W1368" s="1">
        <v>46203</v>
      </c>
      <c r="X1368" t="s">
        <v>593</v>
      </c>
    </row>
    <row r="1369" spans="1:26" x14ac:dyDescent="0.25">
      <c r="A1369">
        <f t="shared" ca="1" si="104"/>
        <v>0</v>
      </c>
      <c r="C1369">
        <f t="shared" ca="1" si="105"/>
        <v>0</v>
      </c>
      <c r="D1369" t="s">
        <v>74</v>
      </c>
      <c r="E1369" t="s">
        <v>58</v>
      </c>
      <c r="F1369">
        <v>632</v>
      </c>
      <c r="G1369" t="s">
        <v>213</v>
      </c>
      <c r="H1369" t="s">
        <v>2683</v>
      </c>
      <c r="I1369" t="s">
        <v>30</v>
      </c>
      <c r="J1369" t="s">
        <v>74</v>
      </c>
      <c r="K1369" t="s">
        <v>61</v>
      </c>
      <c r="L1369" t="s">
        <v>2684</v>
      </c>
      <c r="O1369">
        <v>5028765</v>
      </c>
      <c r="P1369">
        <v>4921</v>
      </c>
      <c r="Q1369" t="s">
        <v>94</v>
      </c>
      <c r="R1369">
        <v>2723.95</v>
      </c>
      <c r="S1369">
        <v>2723.95</v>
      </c>
      <c r="T1369">
        <v>0</v>
      </c>
      <c r="U1369" t="s">
        <v>34</v>
      </c>
      <c r="X1369" t="s">
        <v>296</v>
      </c>
    </row>
    <row r="1370" spans="1:26" x14ac:dyDescent="0.25">
      <c r="A1370">
        <f t="shared" ca="1" si="104"/>
        <v>0</v>
      </c>
      <c r="C1370">
        <f t="shared" ca="1" si="105"/>
        <v>0</v>
      </c>
      <c r="D1370" t="s">
        <v>355</v>
      </c>
      <c r="E1370" t="s">
        <v>237</v>
      </c>
      <c r="F1370">
        <v>84</v>
      </c>
      <c r="G1370" t="s">
        <v>580</v>
      </c>
      <c r="H1370" t="s">
        <v>1292</v>
      </c>
      <c r="I1370" t="s">
        <v>30</v>
      </c>
      <c r="J1370" t="s">
        <v>355</v>
      </c>
      <c r="K1370" t="s">
        <v>240</v>
      </c>
      <c r="L1370" t="s">
        <v>2685</v>
      </c>
      <c r="M1370">
        <v>15000</v>
      </c>
      <c r="N1370">
        <v>76</v>
      </c>
      <c r="O1370">
        <v>5036158</v>
      </c>
      <c r="P1370">
        <v>2391</v>
      </c>
      <c r="Q1370" t="s">
        <v>314</v>
      </c>
      <c r="R1370">
        <v>4844.37</v>
      </c>
      <c r="S1370">
        <v>4844.37</v>
      </c>
      <c r="T1370">
        <v>0</v>
      </c>
      <c r="U1370" t="s">
        <v>34</v>
      </c>
    </row>
    <row r="1371" spans="1:26" x14ac:dyDescent="0.25">
      <c r="A1371">
        <f t="shared" ca="1" si="104"/>
        <v>0</v>
      </c>
      <c r="C1371">
        <f t="shared" ca="1" si="105"/>
        <v>0</v>
      </c>
      <c r="D1371" t="s">
        <v>41</v>
      </c>
      <c r="E1371" t="s">
        <v>237</v>
      </c>
      <c r="F1371">
        <v>80</v>
      </c>
      <c r="G1371" t="s">
        <v>238</v>
      </c>
      <c r="H1371" t="s">
        <v>2686</v>
      </c>
      <c r="I1371" t="s">
        <v>44</v>
      </c>
      <c r="J1371" t="s">
        <v>41</v>
      </c>
      <c r="K1371" t="s">
        <v>240</v>
      </c>
      <c r="L1371" t="s">
        <v>2687</v>
      </c>
      <c r="O1371">
        <v>5036165</v>
      </c>
      <c r="P1371">
        <v>4146</v>
      </c>
      <c r="Q1371" t="s">
        <v>91</v>
      </c>
      <c r="R1371">
        <v>11242.44</v>
      </c>
      <c r="S1371">
        <v>11242.44</v>
      </c>
      <c r="T1371">
        <v>0</v>
      </c>
      <c r="U1371" t="s">
        <v>34</v>
      </c>
    </row>
    <row r="1372" spans="1:26" x14ac:dyDescent="0.25">
      <c r="A1372">
        <f t="shared" ca="1" si="104"/>
        <v>0</v>
      </c>
      <c r="C1372">
        <f t="shared" ca="1" si="105"/>
        <v>0</v>
      </c>
      <c r="D1372" t="s">
        <v>35</v>
      </c>
      <c r="E1372" t="s">
        <v>237</v>
      </c>
      <c r="F1372">
        <v>80</v>
      </c>
      <c r="G1372" t="s">
        <v>238</v>
      </c>
      <c r="H1372" t="s">
        <v>2688</v>
      </c>
      <c r="I1372" t="s">
        <v>30</v>
      </c>
      <c r="J1372" t="s">
        <v>35</v>
      </c>
      <c r="K1372" t="s">
        <v>240</v>
      </c>
      <c r="L1372" t="s">
        <v>2689</v>
      </c>
      <c r="O1372">
        <v>5036168</v>
      </c>
      <c r="P1372">
        <v>6364</v>
      </c>
      <c r="Q1372" t="s">
        <v>331</v>
      </c>
      <c r="R1372">
        <v>4557.93</v>
      </c>
      <c r="S1372">
        <v>4557.93</v>
      </c>
      <c r="T1372">
        <v>0</v>
      </c>
      <c r="U1372" t="s">
        <v>34</v>
      </c>
    </row>
    <row r="1373" spans="1:26" x14ac:dyDescent="0.25">
      <c r="A1373">
        <f t="shared" ca="1" si="104"/>
        <v>0</v>
      </c>
      <c r="C1373">
        <f t="shared" ca="1" si="105"/>
        <v>0</v>
      </c>
      <c r="D1373" t="s">
        <v>48</v>
      </c>
      <c r="E1373" t="s">
        <v>58</v>
      </c>
      <c r="F1373">
        <v>1469</v>
      </c>
      <c r="G1373" t="s">
        <v>213</v>
      </c>
      <c r="H1373" t="s">
        <v>2690</v>
      </c>
      <c r="I1373" t="s">
        <v>30</v>
      </c>
      <c r="J1373" t="s">
        <v>48</v>
      </c>
      <c r="K1373" t="s">
        <v>215</v>
      </c>
      <c r="L1373" t="s">
        <v>2691</v>
      </c>
      <c r="P1373">
        <v>505</v>
      </c>
      <c r="Q1373" t="s">
        <v>438</v>
      </c>
      <c r="R1373">
        <v>2404.0500000000002</v>
      </c>
      <c r="S1373">
        <v>2404.0500000000002</v>
      </c>
      <c r="T1373">
        <v>0</v>
      </c>
      <c r="U1373" t="s">
        <v>34</v>
      </c>
      <c r="X1373" t="s">
        <v>2692</v>
      </c>
    </row>
    <row r="1374" spans="1:26" x14ac:dyDescent="0.25">
      <c r="A1374">
        <f t="shared" ca="1" si="104"/>
        <v>0</v>
      </c>
      <c r="C1374">
        <f t="shared" ca="1" si="105"/>
        <v>0</v>
      </c>
      <c r="D1374" t="s">
        <v>183</v>
      </c>
      <c r="E1374" t="s">
        <v>49</v>
      </c>
      <c r="F1374">
        <v>1641</v>
      </c>
      <c r="G1374" t="s">
        <v>263</v>
      </c>
      <c r="H1374" t="s">
        <v>2645</v>
      </c>
      <c r="I1374" t="s">
        <v>187</v>
      </c>
      <c r="J1374" t="s">
        <v>183</v>
      </c>
      <c r="K1374" t="s">
        <v>52</v>
      </c>
      <c r="L1374" t="s">
        <v>2693</v>
      </c>
      <c r="O1374">
        <v>5072014</v>
      </c>
      <c r="P1374">
        <v>16262</v>
      </c>
      <c r="Q1374" t="s">
        <v>697</v>
      </c>
      <c r="R1374">
        <v>3678.18</v>
      </c>
      <c r="S1374">
        <v>3678.18</v>
      </c>
      <c r="T1374">
        <v>0</v>
      </c>
      <c r="U1374" t="s">
        <v>34</v>
      </c>
      <c r="V1374" s="1">
        <v>46160</v>
      </c>
      <c r="W1374" s="1">
        <v>46161</v>
      </c>
      <c r="X1374" t="s">
        <v>2647</v>
      </c>
    </row>
    <row r="1375" spans="1:26" x14ac:dyDescent="0.25">
      <c r="A1375">
        <f t="shared" ca="1" si="104"/>
        <v>0</v>
      </c>
      <c r="C1375">
        <f t="shared" ca="1" si="105"/>
        <v>0</v>
      </c>
      <c r="D1375" t="s">
        <v>196</v>
      </c>
      <c r="E1375" t="s">
        <v>49</v>
      </c>
      <c r="F1375">
        <v>892</v>
      </c>
      <c r="G1375" t="s">
        <v>689</v>
      </c>
      <c r="H1375" t="s">
        <v>701</v>
      </c>
      <c r="I1375" t="s">
        <v>187</v>
      </c>
      <c r="J1375" t="s">
        <v>196</v>
      </c>
      <c r="K1375" t="s">
        <v>326</v>
      </c>
      <c r="L1375" t="s">
        <v>2694</v>
      </c>
      <c r="M1375">
        <v>22000</v>
      </c>
      <c r="N1375">
        <v>598</v>
      </c>
      <c r="O1375">
        <v>5076131</v>
      </c>
      <c r="P1375">
        <v>3501</v>
      </c>
      <c r="Q1375" t="s">
        <v>666</v>
      </c>
      <c r="R1375">
        <v>27423</v>
      </c>
      <c r="T1375">
        <v>27423</v>
      </c>
      <c r="U1375" t="s">
        <v>40</v>
      </c>
      <c r="V1375" s="1">
        <v>46181</v>
      </c>
      <c r="W1375" s="1">
        <v>46234</v>
      </c>
    </row>
    <row r="1376" spans="1:26" x14ac:dyDescent="0.25">
      <c r="A1376">
        <f t="shared" ca="1" si="104"/>
        <v>0</v>
      </c>
      <c r="C1376">
        <f t="shared" ca="1" si="105"/>
        <v>0</v>
      </c>
      <c r="D1376" t="s">
        <v>48</v>
      </c>
      <c r="E1376" t="s">
        <v>58</v>
      </c>
      <c r="F1376">
        <v>880</v>
      </c>
      <c r="G1376" t="s">
        <v>602</v>
      </c>
      <c r="H1376" t="s">
        <v>2011</v>
      </c>
      <c r="I1376" t="s">
        <v>30</v>
      </c>
      <c r="J1376" t="s">
        <v>48</v>
      </c>
      <c r="K1376" t="s">
        <v>61</v>
      </c>
      <c r="L1376" t="s">
        <v>2695</v>
      </c>
      <c r="M1376">
        <v>10000</v>
      </c>
      <c r="N1376">
        <v>258</v>
      </c>
      <c r="O1376">
        <v>5080213</v>
      </c>
      <c r="P1376">
        <v>15962</v>
      </c>
      <c r="Q1376" t="s">
        <v>1313</v>
      </c>
      <c r="R1376">
        <v>1854.58</v>
      </c>
      <c r="S1376">
        <v>1854.58</v>
      </c>
      <c r="T1376">
        <v>0</v>
      </c>
      <c r="U1376" t="s">
        <v>34</v>
      </c>
    </row>
    <row r="1377" spans="1:20" x14ac:dyDescent="0.25">
      <c r="A1377">
        <f t="shared" ca="1" si="104"/>
        <v>0</v>
      </c>
      <c r="C1377">
        <f t="shared" ca="1" si="105"/>
        <v>0</v>
      </c>
      <c r="D1377" t="s">
        <v>41</v>
      </c>
      <c r="E1377" t="s">
        <v>237</v>
      </c>
      <c r="F1377">
        <v>399</v>
      </c>
      <c r="G1377" t="s">
        <v>471</v>
      </c>
      <c r="H1377" t="s">
        <v>2696</v>
      </c>
      <c r="I1377" t="s">
        <v>44</v>
      </c>
      <c r="J1377" t="s">
        <v>41</v>
      </c>
      <c r="K1377" t="s">
        <v>240</v>
      </c>
      <c r="L1377" t="s">
        <v>2697</v>
      </c>
      <c r="O1377">
        <v>5124432</v>
      </c>
      <c r="P1377">
        <v>5978</v>
      </c>
      <c r="Q1377" t="s">
        <v>54</v>
      </c>
      <c r="R1377">
        <v>7898</v>
      </c>
      <c r="T1377">
        <v>7898</v>
      </c>
    </row>
    <row r="1378" spans="1:20" x14ac:dyDescent="0.25">
      <c r="A1378">
        <f t="shared" ca="1" si="104"/>
        <v>0</v>
      </c>
      <c r="C1378">
        <f t="shared" ca="1" si="105"/>
        <v>0</v>
      </c>
      <c r="D1378" t="s">
        <v>236</v>
      </c>
      <c r="E1378" t="s">
        <v>237</v>
      </c>
      <c r="F1378">
        <v>69</v>
      </c>
      <c r="G1378" t="s">
        <v>238</v>
      </c>
      <c r="H1378" t="s">
        <v>2698</v>
      </c>
      <c r="I1378" t="s">
        <v>44</v>
      </c>
      <c r="J1378" t="s">
        <v>236</v>
      </c>
      <c r="K1378" t="s">
        <v>240</v>
      </c>
      <c r="L1378" t="s">
        <v>241</v>
      </c>
      <c r="O1378">
        <v>5124477</v>
      </c>
      <c r="P1378">
        <v>6364</v>
      </c>
      <c r="Q1378" t="s">
        <v>331</v>
      </c>
      <c r="R1378">
        <v>674.75</v>
      </c>
      <c r="T1378">
        <v>674.75</v>
      </c>
    </row>
    <row r="1379" spans="1:20" x14ac:dyDescent="0.25">
      <c r="A1379">
        <f t="shared" ca="1" si="104"/>
        <v>0</v>
      </c>
      <c r="C1379">
        <f t="shared" ca="1" si="105"/>
        <v>0</v>
      </c>
      <c r="D1379" t="s">
        <v>203</v>
      </c>
      <c r="E1379" t="s">
        <v>237</v>
      </c>
      <c r="F1379">
        <v>811</v>
      </c>
      <c r="G1379" t="s">
        <v>618</v>
      </c>
      <c r="H1379" t="s">
        <v>2699</v>
      </c>
      <c r="I1379" t="s">
        <v>44</v>
      </c>
      <c r="J1379" t="s">
        <v>203</v>
      </c>
      <c r="K1379" t="s">
        <v>240</v>
      </c>
      <c r="L1379" t="s">
        <v>2700</v>
      </c>
      <c r="O1379">
        <v>5124487</v>
      </c>
      <c r="P1379">
        <v>6364</v>
      </c>
      <c r="Q1379" t="s">
        <v>331</v>
      </c>
      <c r="R1379">
        <v>1479.94</v>
      </c>
      <c r="T1379">
        <v>1479.94</v>
      </c>
    </row>
    <row r="1380" spans="1:20" x14ac:dyDescent="0.25">
      <c r="A1380">
        <f t="shared" ca="1" si="104"/>
        <v>0</v>
      </c>
      <c r="C1380">
        <f t="shared" ca="1" si="105"/>
        <v>0</v>
      </c>
      <c r="D1380" t="s">
        <v>236</v>
      </c>
      <c r="E1380" t="s">
        <v>237</v>
      </c>
      <c r="F1380">
        <v>363</v>
      </c>
      <c r="G1380" t="s">
        <v>238</v>
      </c>
      <c r="H1380" t="s">
        <v>2701</v>
      </c>
      <c r="I1380" t="s">
        <v>44</v>
      </c>
      <c r="J1380" t="s">
        <v>236</v>
      </c>
      <c r="K1380" t="s">
        <v>240</v>
      </c>
      <c r="L1380" t="s">
        <v>2702</v>
      </c>
      <c r="O1380">
        <v>5124496</v>
      </c>
      <c r="P1380">
        <v>81</v>
      </c>
      <c r="Q1380" t="s">
        <v>102</v>
      </c>
      <c r="R1380">
        <v>730.61</v>
      </c>
      <c r="T1380">
        <v>730.61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3D30F5BD-FDD1-467D-BAE4-C640FEF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UnifaceServer</cp:lastModifiedBy>
  <dcterms:created xsi:type="dcterms:W3CDTF">2026-09-18T10:41:52Z</dcterms:created>
  <dcterms:modified xsi:type="dcterms:W3CDTF">2026-09-18T10:41:52Z</dcterms:modified>
</cp:coreProperties>
</file>