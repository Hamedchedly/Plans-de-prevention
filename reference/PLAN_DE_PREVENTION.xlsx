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urial51.sharepoint.com/teams/Pole-Maintenance/Documents partages/ADMINISTRATION/PLANS DE PREVENTION/W/"/>
    </mc:Choice>
  </mc:AlternateContent>
  <xr:revisionPtr revIDLastSave="3036" documentId="8_{EA26A32B-27E6-480B-95A1-84EBE2BF58EC}" xr6:coauthVersionLast="47" xr6:coauthVersionMax="47" xr10:uidLastSave="{BB0488DF-6E36-453B-A95B-1E9D8884F811}"/>
  <bookViews>
    <workbookView xWindow="-120" yWindow="-120" windowWidth="29040" windowHeight="15720" xr2:uid="{61F44FF1-CDEC-4EC4-BB4C-1A9A4B3624BD}"/>
  </bookViews>
  <sheets>
    <sheet name="FICHE DE PREVENTION" sheetId="26" r:id="rId1"/>
    <sheet name="FORMULES" sheetId="27" r:id="rId2"/>
    <sheet name="LISTE LOTS" sheetId="2" r:id="rId3"/>
    <sheet name="LOT 1" sheetId="3" r:id="rId4"/>
    <sheet name="LOT 2" sheetId="6" r:id="rId5"/>
    <sheet name="LOT 3" sheetId="7" r:id="rId6"/>
    <sheet name="LOT 4" sheetId="25" r:id="rId7"/>
    <sheet name="LOT 5" sheetId="8" r:id="rId8"/>
    <sheet name="LOT 6" sheetId="9" r:id="rId9"/>
    <sheet name="LOT 7" sheetId="23" r:id="rId10"/>
    <sheet name="LOT 8" sheetId="10" r:id="rId11"/>
    <sheet name="LOT 9" sheetId="11" r:id="rId12"/>
    <sheet name="LOT 10" sheetId="12" r:id="rId13"/>
    <sheet name="LOT 11" sheetId="13" r:id="rId14"/>
    <sheet name="LOT 12" sheetId="14" r:id="rId15"/>
    <sheet name="LOT 13" sheetId="15" r:id="rId16"/>
    <sheet name="LOT 14" sheetId="16" r:id="rId17"/>
    <sheet name="LOT 15" sheetId="17" r:id="rId18"/>
    <sheet name="LOT 16" sheetId="22" r:id="rId19"/>
    <sheet name="LOT 17" sheetId="21" r:id="rId20"/>
    <sheet name="LOT 18" sheetId="18" r:id="rId21"/>
    <sheet name="LOT 19" sheetId="24" r:id="rId22"/>
    <sheet name="LOT 20" sheetId="19" r:id="rId23"/>
    <sheet name="LOT 21" sheetId="20" r:id="rId24"/>
  </sheets>
  <definedNames>
    <definedName name="ASCENCEURS">FORMULES!$AN$2:$AN$6</definedName>
    <definedName name="CARRELAGE_FAIENCE">FORMULES!$AB$2:$AB$7</definedName>
    <definedName name="cb_ChuteHauteur">'FICHE DE PREVENTION'!$B$26</definedName>
    <definedName name="cb_Echafaudages">'FICHE DE PREVENTION'!$D$31</definedName>
    <definedName name="cb_GardeCorps">'FICHE DE PREVENTION'!$D$30</definedName>
    <definedName name="cb_Harnais">'FICHE DE PREVENTION'!$B$36</definedName>
    <definedName name="cb_ProcHauteur">'FICHE DE PREVENTION'!$F$33</definedName>
    <definedName name="CHARGE_OPERATION">FORMULES!$A$35:$A$61</definedName>
    <definedName name="CHARPENTE">FORMULES!$J$2:$J$13</definedName>
    <definedName name="CHAUFFAGE">FORMULES!$AJ$2:$AJ$6</definedName>
    <definedName name="COUVERTURE">FORMULES!$L$2:$L$14</definedName>
    <definedName name="DEMOLITION">FORMULES!$F$2:$F$18</definedName>
    <definedName name="DESAMIANTAGE">FORMULES!$D$2:$D$8</definedName>
    <definedName name="DOUBLAGE_FAUX_PLAFOND_CLOISONS">FORMULES!$R$2:$R$7</definedName>
    <definedName name="ELECTRICITE">FORMULES!$AL$2:$AL$9</definedName>
    <definedName name="ESPACES_VERTS">FORMULES!$AP$2:$AP$15</definedName>
    <definedName name="ETANCHEITE">FORMULES!$N$2:$N$11</definedName>
    <definedName name="GROS_OEUVRE">FORMULES!$H$2:$H$22</definedName>
    <definedName name="ISOLATION">FORMULES!$T$2:$T$10</definedName>
    <definedName name="LOT">FORMULES!$B$2:$B$23</definedName>
    <definedName name="MENUISERIES_EXTERIEURES">FORMULES!$X$2:$X$5</definedName>
    <definedName name="MENUISERIES_INTERIEURES">FORMULES!$V$2:$V$5</definedName>
    <definedName name="PEINTURE_REVETEMENTS_DE_SOL">FORMULES!$AD$2:$AD$11</definedName>
    <definedName name="PLOMBERIE">FORMULES!$AF$2:$AF$11</definedName>
    <definedName name="RAVALEMENT_ENDUIT">FORMULES!$P$2:$P$11</definedName>
    <definedName name="SERRURERIE">FORMULES!$Z$2:$Z$8</definedName>
    <definedName name="TOUT_CORPS_ETAT">FORMULES!#REF!</definedName>
    <definedName name="VENTILATION">FORMULES!$AH$2:$AH$6</definedName>
    <definedName name="VOIRIES_RESEAUX_DIVERS">FORMULES!$AR$2:$AR$29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27" l="1"/>
  <c r="Z8" i="27"/>
  <c r="A36" i="26"/>
  <c r="AR27" i="27"/>
  <c r="AR28" i="27"/>
  <c r="AR29" i="27"/>
  <c r="P12" i="27"/>
  <c r="P13" i="27"/>
  <c r="P11" i="27"/>
  <c r="E13" i="26"/>
  <c r="C43" i="26" s="1"/>
  <c r="E12" i="26"/>
  <c r="C42" i="26" s="1"/>
  <c r="AF12" i="27"/>
  <c r="AF10" i="27"/>
  <c r="X5" i="27"/>
  <c r="AN3" i="27"/>
  <c r="AN4" i="27"/>
  <c r="AN5" i="27"/>
  <c r="AN6" i="27"/>
  <c r="AF9" i="27"/>
  <c r="Z6" i="27"/>
  <c r="Z7" i="27"/>
  <c r="C41" i="26"/>
  <c r="X4" i="27"/>
  <c r="X3" i="27"/>
  <c r="X2" i="27"/>
  <c r="A30" i="26"/>
  <c r="A32" i="26"/>
  <c r="A35" i="26"/>
  <c r="E36" i="26"/>
  <c r="C34" i="26"/>
  <c r="A31" i="26"/>
  <c r="E38" i="26"/>
  <c r="E31" i="26"/>
  <c r="C37" i="26"/>
  <c r="E32" i="26"/>
  <c r="E30" i="26"/>
  <c r="C35" i="26"/>
  <c r="C38" i="26"/>
  <c r="E34" i="26"/>
  <c r="C36" i="26"/>
  <c r="A33" i="26"/>
  <c r="C32" i="26"/>
  <c r="E33" i="26"/>
  <c r="C31" i="26"/>
  <c r="C30" i="26"/>
  <c r="A34" i="26"/>
  <c r="E35" i="26"/>
  <c r="A38" i="26"/>
  <c r="A37" i="26"/>
  <c r="AR22" i="27"/>
  <c r="AR23" i="27"/>
  <c r="AR24" i="27"/>
  <c r="AR25" i="27"/>
  <c r="AR26" i="27"/>
  <c r="AR2" i="27"/>
  <c r="AR3" i="27"/>
  <c r="AR4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P11" i="27"/>
  <c r="AP12" i="27"/>
  <c r="AP13" i="27"/>
  <c r="AP14" i="27"/>
  <c r="AP15" i="27"/>
  <c r="AP10" i="27"/>
  <c r="AP3" i="27"/>
  <c r="AP4" i="27"/>
  <c r="AP5" i="27"/>
  <c r="AP6" i="27"/>
  <c r="AP7" i="27"/>
  <c r="AP8" i="27"/>
  <c r="AP9" i="27"/>
  <c r="AP2" i="27"/>
  <c r="AN2" i="27"/>
  <c r="AL3" i="27"/>
  <c r="AL4" i="27"/>
  <c r="AL5" i="27"/>
  <c r="AL6" i="27"/>
  <c r="AL7" i="27"/>
  <c r="AL8" i="27"/>
  <c r="AL2" i="27"/>
  <c r="AJ3" i="27"/>
  <c r="AJ4" i="27"/>
  <c r="AJ5" i="27"/>
  <c r="AJ6" i="27"/>
  <c r="AJ2" i="27"/>
  <c r="AH3" i="27"/>
  <c r="AH4" i="27"/>
  <c r="AH5" i="27"/>
  <c r="AH2" i="27"/>
  <c r="AF3" i="27"/>
  <c r="AF4" i="27"/>
  <c r="AF5" i="27"/>
  <c r="AF6" i="27"/>
  <c r="AF7" i="27"/>
  <c r="AF8" i="27"/>
  <c r="AF2" i="27"/>
  <c r="AD8" i="27"/>
  <c r="AD9" i="27"/>
  <c r="AD10" i="27"/>
  <c r="AD11" i="27"/>
  <c r="AD2" i="27"/>
  <c r="AD3" i="27"/>
  <c r="AD4" i="27"/>
  <c r="AD5" i="27"/>
  <c r="AD6" i="27"/>
  <c r="AD7" i="27"/>
  <c r="AB2" i="27"/>
  <c r="AB3" i="27"/>
  <c r="AB4" i="27"/>
  <c r="AB5" i="27"/>
  <c r="AB6" i="27"/>
  <c r="AB7" i="27"/>
  <c r="Z3" i="27"/>
  <c r="Z4" i="27"/>
  <c r="Z5" i="27"/>
  <c r="Z2" i="27"/>
  <c r="T10" i="27"/>
  <c r="T5" i="27"/>
  <c r="T6" i="27"/>
  <c r="T7" i="27"/>
  <c r="T8" i="27"/>
  <c r="T9" i="27"/>
  <c r="T2" i="27"/>
  <c r="T3" i="27"/>
  <c r="T4" i="27"/>
  <c r="V3" i="27"/>
  <c r="V4" i="27"/>
  <c r="V5" i="27"/>
  <c r="V2" i="27"/>
  <c r="P9" i="27"/>
  <c r="P10" i="27"/>
  <c r="P8" i="27"/>
  <c r="P3" i="27"/>
  <c r="P4" i="27"/>
  <c r="P5" i="27"/>
  <c r="P6" i="27"/>
  <c r="P7" i="27"/>
  <c r="P2" i="27"/>
  <c r="R3" i="27"/>
  <c r="R4" i="27"/>
  <c r="R5" i="27"/>
  <c r="R6" i="27"/>
  <c r="R7" i="27"/>
  <c r="R2" i="27"/>
  <c r="N3" i="27"/>
  <c r="N4" i="27"/>
  <c r="N5" i="27"/>
  <c r="N6" i="27"/>
  <c r="N7" i="27"/>
  <c r="N8" i="27"/>
  <c r="N9" i="27"/>
  <c r="N10" i="27"/>
  <c r="N11" i="27"/>
  <c r="N2" i="27"/>
  <c r="J11" i="27"/>
  <c r="J12" i="27"/>
  <c r="J13" i="27"/>
  <c r="L3" i="27"/>
  <c r="L4" i="27"/>
  <c r="L5" i="27"/>
  <c r="L6" i="27"/>
  <c r="L7" i="27"/>
  <c r="L8" i="27"/>
  <c r="L9" i="27"/>
  <c r="L10" i="27"/>
  <c r="L11" i="27"/>
  <c r="L12" i="27"/>
  <c r="L13" i="27"/>
  <c r="L14" i="27"/>
  <c r="J3" i="27"/>
  <c r="J4" i="27"/>
  <c r="J5" i="27"/>
  <c r="J6" i="27"/>
  <c r="J7" i="27"/>
  <c r="J8" i="27"/>
  <c r="J9" i="27"/>
  <c r="J10" i="27"/>
  <c r="L2" i="27"/>
  <c r="J2" i="27"/>
  <c r="H20" i="27"/>
  <c r="H21" i="27"/>
  <c r="H22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3" i="27"/>
  <c r="H4" i="27"/>
  <c r="H2" i="27"/>
  <c r="F2" i="27"/>
  <c r="F17" i="27"/>
  <c r="F18" i="27"/>
  <c r="F14" i="27"/>
  <c r="F15" i="27"/>
  <c r="F16" i="27"/>
  <c r="F3" i="27"/>
  <c r="F4" i="27"/>
  <c r="F5" i="27"/>
  <c r="F6" i="27"/>
  <c r="F7" i="27"/>
  <c r="F8" i="27"/>
  <c r="F9" i="27"/>
  <c r="F10" i="27"/>
  <c r="F11" i="27"/>
  <c r="F12" i="27"/>
  <c r="F13" i="27"/>
  <c r="D7" i="27"/>
  <c r="D8" i="27"/>
  <c r="D3" i="27"/>
  <c r="D4" i="27"/>
  <c r="D5" i="27"/>
  <c r="D6" i="27"/>
  <c r="D2" i="27"/>
  <c r="A14" i="2"/>
  <c r="A15" i="2"/>
  <c r="A16" i="2"/>
  <c r="A17" i="2"/>
  <c r="A18" i="2"/>
  <c r="A19" i="2"/>
  <c r="A20" i="2"/>
  <c r="A21" i="2"/>
  <c r="A22" i="2"/>
  <c r="A3" i="2"/>
  <c r="A4" i="2"/>
  <c r="A5" i="2"/>
  <c r="A6" i="2"/>
  <c r="A7" i="2"/>
  <c r="A8" i="2"/>
  <c r="A9" i="2"/>
  <c r="A10" i="2"/>
  <c r="A11" i="2"/>
  <c r="A12" i="2"/>
  <c r="A13" i="2"/>
</calcChain>
</file>

<file path=xl/sharedStrings.xml><?xml version="1.0" encoding="utf-8"?>
<sst xmlns="http://schemas.openxmlformats.org/spreadsheetml/2006/main" count="743" uniqueCount="526">
  <si>
    <t>PLAN DE PREVENTION</t>
  </si>
  <si>
    <t xml:space="preserve">LOT TRAVAUX </t>
  </si>
  <si>
    <t>PLOMBERIE</t>
  </si>
  <si>
    <t>Libellé de la tâche</t>
  </si>
  <si>
    <t>Poser une évacuation d'EU</t>
  </si>
  <si>
    <t>Période d’intervention</t>
  </si>
  <si>
    <t>Numéro de bon de commande :</t>
  </si>
  <si>
    <t>Nature de l’activité :</t>
  </si>
  <si>
    <t xml:space="preserve">Procédure en cas d’accident / incident : </t>
  </si>
  <si>
    <t>Personne à alerter :</t>
  </si>
  <si>
    <t>HATIM ALLEL</t>
  </si>
  <si>
    <t xml:space="preserve">Zone concernée : </t>
  </si>
  <si>
    <t>OU</t>
  </si>
  <si>
    <t>CENTRE DE RELATION CLIENTS</t>
  </si>
  <si>
    <t>03 26 04 98 11</t>
  </si>
  <si>
    <t xml:space="preserve">Moyens techniques utilisés : </t>
  </si>
  <si>
    <t xml:space="preserve">Procédure d’alerte (numéro d'alertes) : </t>
  </si>
  <si>
    <t>SAMU</t>
  </si>
  <si>
    <t>POMPIERS</t>
  </si>
  <si>
    <t>URGENCES</t>
  </si>
  <si>
    <t>POLICE SECOURS</t>
  </si>
  <si>
    <t xml:space="preserve">Risques identifiés : </t>
  </si>
  <si>
    <t>Amiante/plomb</t>
  </si>
  <si>
    <t>Coupure/sectionnement</t>
  </si>
  <si>
    <t>Vibration</t>
  </si>
  <si>
    <t>Bruit</t>
  </si>
  <si>
    <t>Heurt</t>
  </si>
  <si>
    <t>Risque électrique</t>
  </si>
  <si>
    <t>Chute de hauteur</t>
  </si>
  <si>
    <t>Incendie/explosion</t>
  </si>
  <si>
    <t>Risque routier</t>
  </si>
  <si>
    <t>Chute de plain-pied</t>
  </si>
  <si>
    <t>Troubles musculosquelettiques</t>
  </si>
  <si>
    <t>Forte chaleur</t>
  </si>
  <si>
    <t>Chute d’objet</t>
  </si>
  <si>
    <t>Produit chimique</t>
  </si>
  <si>
    <t>Mesures de prévention mises en place :</t>
  </si>
  <si>
    <t>Casque de sécurité</t>
  </si>
  <si>
    <t>Garde corps / filet antichute</t>
  </si>
  <si>
    <t>Mise à la terre des équipements</t>
  </si>
  <si>
    <t>Chaussure de sécurité</t>
  </si>
  <si>
    <t xml:space="preserve">Echafaudages </t>
  </si>
  <si>
    <t>Formation et autorisation pour engins</t>
  </si>
  <si>
    <t xml:space="preserve">Gants </t>
  </si>
  <si>
    <t>Protection des trémies et ouvertures</t>
  </si>
  <si>
    <t>Matériel électrique conforme et vérifié</t>
  </si>
  <si>
    <t>Vêtements haute visibilité</t>
  </si>
  <si>
    <t>Eclairage suffisant du chantier</t>
  </si>
  <si>
    <t xml:space="preserve">Procédure de travail en hauteur sécurisée </t>
  </si>
  <si>
    <t>Protection auditive</t>
  </si>
  <si>
    <t>Rangement et nettoyage régulier</t>
  </si>
  <si>
    <t>Permis feu si travail par flamme (soudure, meulage)</t>
  </si>
  <si>
    <t>Lunettes / visière de protection</t>
  </si>
  <si>
    <t>Stockage sécurisé des matériaux / produit dangereux</t>
  </si>
  <si>
    <t>Plan de prévention amiantes / plomb</t>
  </si>
  <si>
    <t>Harnais antichute</t>
  </si>
  <si>
    <t>Extincteurs disponibles et vérifiés</t>
  </si>
  <si>
    <t>Trousse de premiers secours sur place</t>
  </si>
  <si>
    <t>Masque</t>
  </si>
  <si>
    <t>Protection des câbles</t>
  </si>
  <si>
    <t>Personnel formés aux gestes de premiers secours</t>
  </si>
  <si>
    <t>Tenue de protection</t>
  </si>
  <si>
    <t>Temps de pause lors de tâches pénibles</t>
  </si>
  <si>
    <t>Pauses fraicheurs (hydratation)</t>
  </si>
  <si>
    <t>VALIDATION DE LA FICHE</t>
  </si>
  <si>
    <t xml:space="preserve">Rédacteur de la fiche : </t>
  </si>
  <si>
    <t>Numéro de téléphone :</t>
  </si>
  <si>
    <t>Adresse mail :</t>
  </si>
  <si>
    <t>Date de rédaction :</t>
  </si>
  <si>
    <t>SIGNATURE DE L'ENTREPRISE :</t>
  </si>
  <si>
    <t>LOT</t>
  </si>
  <si>
    <t>DESAMIANTAGE</t>
  </si>
  <si>
    <t>DEMOLITION</t>
  </si>
  <si>
    <t>GROS_ŒUVRE</t>
  </si>
  <si>
    <t>CHARPENTE</t>
  </si>
  <si>
    <t>COUVERTURE</t>
  </si>
  <si>
    <t>ETANCHEITE</t>
  </si>
  <si>
    <t>RAVALEMENT_ENDUIT</t>
  </si>
  <si>
    <t>DOUBLAGE_FAUX_PLAFOND_CLOISONS</t>
  </si>
  <si>
    <t>ISOLATION</t>
  </si>
  <si>
    <t>MENUISERIES_INTERIEURES</t>
  </si>
  <si>
    <t>MENUISERIES_EXTERIEURES</t>
  </si>
  <si>
    <t>SERRURERIE</t>
  </si>
  <si>
    <t>CARRELAGE_FAIENCE</t>
  </si>
  <si>
    <t>PEINTURE_REVETEMENTS_DE_SOL</t>
  </si>
  <si>
    <t>VENTILATION</t>
  </si>
  <si>
    <t>CHAUFFAGE</t>
  </si>
  <si>
    <t>ELECTRICITE</t>
  </si>
  <si>
    <t>ASCENCEURS</t>
  </si>
  <si>
    <t>ESPACES_VERTS</t>
  </si>
  <si>
    <t>VOIRIES_RESEAUX_DIVERS</t>
  </si>
  <si>
    <t>Travaux sur réseau électrique / Mise en sécurité électrique</t>
  </si>
  <si>
    <t>Mettre en apparent les réseaux</t>
  </si>
  <si>
    <t>Abri de jardin</t>
  </si>
  <si>
    <t>TOUT_CORPS_ETAT</t>
  </si>
  <si>
    <t>Audit structurel et sécuritaire des balcons et garde-corps</t>
  </si>
  <si>
    <t>CHARGE_OPERATION</t>
  </si>
  <si>
    <t>PRENOM</t>
  </si>
  <si>
    <t>NOM</t>
  </si>
  <si>
    <t>TELEPHONE</t>
  </si>
  <si>
    <t>MAIL</t>
  </si>
  <si>
    <t xml:space="preserve">DOMINIQUE BOGNI </t>
  </si>
  <si>
    <t>06 89 87 86 91</t>
  </si>
  <si>
    <t>dominique.bogni@plurial.fr</t>
  </si>
  <si>
    <t>CHRISTOPHE CARON</t>
  </si>
  <si>
    <t>06 82 93 66 29</t>
  </si>
  <si>
    <t>christophe.caron@plurial.fr</t>
  </si>
  <si>
    <t>LAURENCE CHARBONNIER</t>
  </si>
  <si>
    <t>06 13 55 18 75</t>
  </si>
  <si>
    <t>laurence.charbonnier@plurial.fr</t>
  </si>
  <si>
    <t>SEBASTIEN HERAULT</t>
  </si>
  <si>
    <t>06 09 54 49 48</t>
  </si>
  <si>
    <t>sebastien.herault@plurial.fr</t>
  </si>
  <si>
    <t>JEROME BELLIEN</t>
  </si>
  <si>
    <t>07 85 09 60 87</t>
  </si>
  <si>
    <t>jerome.bellien@plurial.fr</t>
  </si>
  <si>
    <t>SAMY WAHHAM</t>
  </si>
  <si>
    <t>06 07 33 79 00</t>
  </si>
  <si>
    <t>samy.wahham@plurial.fr</t>
  </si>
  <si>
    <t>FABRICE DAUMAL</t>
  </si>
  <si>
    <t>06 28 11 35 94</t>
  </si>
  <si>
    <t>fabrice.daumal@plurial.fr</t>
  </si>
  <si>
    <t>MAXIME OYANCE</t>
  </si>
  <si>
    <t>06 11 07 15 29</t>
  </si>
  <si>
    <t>maxime.oyance@plurial.fr</t>
  </si>
  <si>
    <t>CAMILLE DUVAL LELONG</t>
  </si>
  <si>
    <t>06 27 34 18 33</t>
  </si>
  <si>
    <t>camille.lelong@plurial.fr</t>
  </si>
  <si>
    <t>QUENTIN TRIBAULT</t>
  </si>
  <si>
    <t>06 47 27 10 93</t>
  </si>
  <si>
    <t>quentin.tribault@plurial.fr</t>
  </si>
  <si>
    <t>06 43 25 48 05</t>
  </si>
  <si>
    <t>hatim.allel@plurial.fr</t>
  </si>
  <si>
    <t>EMIE PATIGNY</t>
  </si>
  <si>
    <t>06 43 25 46 64</t>
  </si>
  <si>
    <t>emie.patigny@plurial.fr</t>
  </si>
  <si>
    <t>HAMED CHEDLY</t>
  </si>
  <si>
    <t>06 33 86 96 91</t>
  </si>
  <si>
    <t>hamed.chedly@plurial.fr</t>
  </si>
  <si>
    <t>CLEMENT KOBSCH</t>
  </si>
  <si>
    <t>06 27 34 25 54</t>
  </si>
  <si>
    <t>clement.kobsch@plurial.fr</t>
  </si>
  <si>
    <t>ALEXANDRE GORRIAS</t>
  </si>
  <si>
    <t>07 85 68 29 99</t>
  </si>
  <si>
    <t>alexandre.gorrias@plurial.fr</t>
  </si>
  <si>
    <t>STEPHANIE SILLET</t>
  </si>
  <si>
    <t>06 89 87 86 98</t>
  </si>
  <si>
    <t>stephanie.sillet@plurial.fr</t>
  </si>
  <si>
    <t>LUCIEN MAUJEAN</t>
  </si>
  <si>
    <t>07 85 51 17 67</t>
  </si>
  <si>
    <t>lucien.maujean@plurial.fr</t>
  </si>
  <si>
    <t>BRICE SALOU</t>
  </si>
  <si>
    <t>06 02 12 61 09</t>
  </si>
  <si>
    <t>brice.salou@plurial.fr</t>
  </si>
  <si>
    <t>ALEXANDRE MAIERON</t>
  </si>
  <si>
    <t>06 89 87 86 64</t>
  </si>
  <si>
    <t>alexandre.maieron@plurial.fr</t>
  </si>
  <si>
    <t>GUILLAUME GOGLIN</t>
  </si>
  <si>
    <t>06 16 56 13 88</t>
  </si>
  <si>
    <t>guillaume.goglin@plurial.fr</t>
  </si>
  <si>
    <t>YANIS YOUSFI</t>
  </si>
  <si>
    <t>06 25 82 30 47</t>
  </si>
  <si>
    <t>yanis.yousfi@plurial.fr</t>
  </si>
  <si>
    <t>MARIE LEGOUX</t>
  </si>
  <si>
    <t>06 40 31 73 04</t>
  </si>
  <si>
    <t>marie.legoux@plurial.fr</t>
  </si>
  <si>
    <t>LARRY CHARVET</t>
  </si>
  <si>
    <t>07 86 96 86 85</t>
  </si>
  <si>
    <t>larry.charvet@plurial.fr</t>
  </si>
  <si>
    <t>ZACCARI SARDI</t>
  </si>
  <si>
    <t>06 33 21 39 51</t>
  </si>
  <si>
    <t>zaccari.sardi@plurial.fr</t>
  </si>
  <si>
    <t>KARENE FOURNIER-POILVERT</t>
  </si>
  <si>
    <t>06 14 34 85 79</t>
  </si>
  <si>
    <t>karene.fournier-poilvert@plurial.fr</t>
  </si>
  <si>
    <t>NICOLAS WACHNICKI</t>
  </si>
  <si>
    <t>06 14 69 79 20</t>
  </si>
  <si>
    <t>nicolas.wachnicki@plurial.fr</t>
  </si>
  <si>
    <t>HUGUES LHERMITTE</t>
  </si>
  <si>
    <t>06 09 97 16 69</t>
  </si>
  <si>
    <t>hugues.lhermitte@plurial.fr</t>
  </si>
  <si>
    <t>N°</t>
  </si>
  <si>
    <t>GROS ŒUVRE</t>
  </si>
  <si>
    <t>RAVALEMENT DE FACADE / ENDUIT</t>
  </si>
  <si>
    <t>DOUBLAGE / FAUX PLAFOND / CLOISONS</t>
  </si>
  <si>
    <t>MENUISERIES INTERIEURES</t>
  </si>
  <si>
    <t>MENUISERIES EXTERIEURES</t>
  </si>
  <si>
    <t>CARRELAGE ET FAIENCE</t>
  </si>
  <si>
    <t>PEINTURE / REVETEMENTS DE SOL</t>
  </si>
  <si>
    <t>ESPACES VERTS</t>
  </si>
  <si>
    <t>VOIRIES ET RESEAUX DIVERS</t>
  </si>
  <si>
    <t>N°1 DESAMIANTAGE</t>
  </si>
  <si>
    <t>NOM TACHE</t>
  </si>
  <si>
    <t>1. Retrait ou traitement de l’amiante</t>
  </si>
  <si>
    <t>(selon nature du matériau et procédure SS3 ou SS4)</t>
  </si>
  <si>
    <t>1.1</t>
  </si>
  <si>
    <t>Dépose de plaques ou éléments en amiante-ciment (toiture, conduits, bardage)</t>
  </si>
  <si>
    <t>1.2</t>
  </si>
  <si>
    <t>Retrait de flocages, calorifugeages ou matériaux friables (procédure lourde avec confinement)</t>
  </si>
  <si>
    <t>1.3</t>
  </si>
  <si>
    <t>Retrait de dalles de sol ou colle amiantée</t>
  </si>
  <si>
    <t>1.4</t>
  </si>
  <si>
    <t>Aspiration ou raclage des poussières amiantées</t>
  </si>
  <si>
    <t>1.5</t>
  </si>
  <si>
    <t>Encapsulage si conservation du support (application de fixateur ou résine)</t>
  </si>
  <si>
    <t>2. Nettoyage et décontamination</t>
  </si>
  <si>
    <t>2.1</t>
  </si>
  <si>
    <t>Aspiration de la zone avec aspirateur à filtration absolue (THE)</t>
  </si>
  <si>
    <t>2.2</t>
  </si>
  <si>
    <t>Lavage humide des surfaces si nécessaire</t>
  </si>
  <si>
    <t>N°2 DEMOLITION</t>
  </si>
  <si>
    <t>1. Curage préalable</t>
  </si>
  <si>
    <t>Dépose des éléments non porteurs : cloisons, plafonds, doublages</t>
  </si>
  <si>
    <t>Dépose des équipements techniques : luminaires, radiateurs, sanitaires</t>
  </si>
  <si>
    <t>Dépose des menuiseries (portes, fenêtres)</t>
  </si>
  <si>
    <t>Dépose des revêtements : sols souples, carrelages, faïences</t>
  </si>
  <si>
    <t>Dépose des réseaux intérieurs (plomberie, électricité, VMC)</t>
  </si>
  <si>
    <t>2. Démolition des éléments bâtis</t>
  </si>
  <si>
    <t>Démolition manuelle</t>
  </si>
  <si>
    <t>Démolition de murs non porteurs à la masse, burineur</t>
  </si>
  <si>
    <t>Démolition de petits ouvrages (escaliers, murets, appuis)</t>
  </si>
  <si>
    <t>2.3</t>
  </si>
  <si>
    <t>Reprise ponctuelle de dalles ou planchers</t>
  </si>
  <si>
    <t>Démolition mécanique</t>
  </si>
  <si>
    <t>2.4</t>
  </si>
  <si>
    <t>Démolition de murs porteurs au BRH (brise-roche hydraulique)</t>
  </si>
  <si>
    <t>2.5</t>
  </si>
  <si>
    <t>Démolition de planchers béton ou structures métalliques</t>
  </si>
  <si>
    <t>2.6</t>
  </si>
  <si>
    <t>Abattage de bâtiment (grignotage ou abattage à la pelle)</t>
  </si>
  <si>
    <t>2.7</t>
  </si>
  <si>
    <t>Sciage et carottage de béton (création de trémies ou réservations)</t>
  </si>
  <si>
    <t>3. Cas particuliers</t>
  </si>
  <si>
    <t>3.1</t>
  </si>
  <si>
    <t>Démolition de cheminées ou souches en toiture</t>
  </si>
  <si>
    <t>3.2</t>
  </si>
  <si>
    <t>Dépose de fondations superficielles</t>
  </si>
  <si>
    <t>3.3</t>
  </si>
  <si>
    <t>Sciage de dalles ou murs en milieux contraints</t>
  </si>
  <si>
    <t>3.4</t>
  </si>
  <si>
    <t>Intervention en site occupé (zones horaires, protections renforcées)</t>
  </si>
  <si>
    <t>3.5</t>
  </si>
  <si>
    <t>Travaux en milieu urbain / bâtiment mitoyen (procédures spécifiques)</t>
  </si>
  <si>
    <t>N°3 GROS ŒUVRE</t>
  </si>
  <si>
    <t>1. Fondations</t>
  </si>
  <si>
    <t>Réalisation de semelles filantes ou isolées en béton armé</t>
  </si>
  <si>
    <t>Création de longrines, plots ou radiers</t>
  </si>
  <si>
    <t>Réalisation de fondations profondes (pieux, micropieux si sous-traité)</t>
  </si>
  <si>
    <t>2. Élévations en maçonnerie</t>
  </si>
  <si>
    <t>Pose de blocs béton (parpaings), briques, agglos cellulaires</t>
  </si>
  <si>
    <t>Montage de murs porteurs ou non porteurs</t>
  </si>
  <si>
    <t>Réalisation de chaînages horizontaux et verticaux</t>
  </si>
  <si>
    <t>Réalisation d'ouvertures : réservations, linteaux, seuils</t>
  </si>
  <si>
    <t>Remplissage de murs (en rénovation)</t>
  </si>
  <si>
    <t>3. Béton armé (banché ou préfabriqué)</t>
  </si>
  <si>
    <t>Coffrage traditionnel ou modulaire (panneaux métalliques, bois)</t>
  </si>
  <si>
    <t>Coulage des voiles et poteaux béton (avec contrôle vibrage et cure)</t>
  </si>
  <si>
    <t>Pose de prédalles, poutrelles, hourdis</t>
  </si>
  <si>
    <t>Coulage de dalles pleine, sur coffrage, ou sur entrevous</t>
  </si>
  <si>
    <t>Réalisation de trémies, gaines, cages d’escalier</t>
  </si>
  <si>
    <t>4. Reprises en sous-œuvre / renforcement</t>
  </si>
  <si>
    <t>4.1</t>
  </si>
  <si>
    <t>Ouverture de murs porteurs (avec pose de linteaux ou poutres métalliques)</t>
  </si>
  <si>
    <t>4.2</t>
  </si>
  <si>
    <t>Renforcement de planchers (résines, fibres, béton armé complémentaire)</t>
  </si>
  <si>
    <t>4.3</t>
  </si>
  <si>
    <t>Réalisation de massifs ou socles pour équipements techniques</t>
  </si>
  <si>
    <t>4.4</t>
  </si>
  <si>
    <t>Injecteurs / coulis pour consolidation si zone sensible</t>
  </si>
  <si>
    <t>5. Réservation, intégration, coordination</t>
  </si>
  <si>
    <t>5.1</t>
  </si>
  <si>
    <t>Réservations pour réseaux techniques (gaines, traversées)</t>
  </si>
  <si>
    <t>6. Étanchéité et traitement des bétons</t>
  </si>
  <si>
    <t>6.1</t>
  </si>
  <si>
    <t>Pose de membranes d’étanchéité sous dallage</t>
  </si>
  <si>
    <t>6.2</t>
  </si>
  <si>
    <t>Traitement des joints de dilatation ou de construction</t>
  </si>
  <si>
    <t>6.3</t>
  </si>
  <si>
    <t>Application de produit de cure, hydrofuge, ou traitement anti-carbonatation</t>
  </si>
  <si>
    <t>N°4 CHARPENTE</t>
  </si>
  <si>
    <t>1. Dépose (en cas de rénovation)</t>
  </si>
  <si>
    <t>Dépose de l’ancienne charpente ou de parties défectueuses</t>
  </si>
  <si>
    <t>Démontage sécurisé en toiture occupée</t>
  </si>
  <si>
    <t>Traitement ou renforcement ponctuel des appuis (murs, poutres)</t>
  </si>
  <si>
    <t>2. Pose de charpente bois</t>
  </si>
  <si>
    <t>Pose d'une chapente bois</t>
  </si>
  <si>
    <t>3. Pose de charpente métallique</t>
  </si>
  <si>
    <t>Pose d'une charpente métallique (portiques, poutres, etc.)</t>
  </si>
  <si>
    <t>Traitement anti-corrosion sur zones de coupe ou soudures</t>
  </si>
  <si>
    <t>4. Traitement et protection</t>
  </si>
  <si>
    <t>Application de traitement fongicide, insecticide ou ignifuge sur bois</t>
  </si>
  <si>
    <t>Peinture antirouille ou galvanisation sur éléments métalliques</t>
  </si>
  <si>
    <t>Pose de pare-vapeur ou pare-pluie en sous-toiture si nécessaire</t>
  </si>
  <si>
    <t>5. Maintenance (le cas échéant)</t>
  </si>
  <si>
    <t>Remplacement d’éléments de charpente affaiblis</t>
  </si>
  <si>
    <t>5.2</t>
  </si>
  <si>
    <t>Pose de pièces de renfort (potelet, sabot, doublage)</t>
  </si>
  <si>
    <t>5.3</t>
  </si>
  <si>
    <t>Traitement curatif de bois attaqué (champignons, insectes)</t>
  </si>
  <si>
    <t>N°5 COUVERTURE</t>
  </si>
  <si>
    <t>1. Dépose de la couverture existante</t>
  </si>
  <si>
    <t>Dépose des éléments de couverture (tuiles, ardoises, bac acier)</t>
  </si>
  <si>
    <t>Retrait des liteaux ou voliges abîmés</t>
  </si>
  <si>
    <t>2. Pose de l’écran sous-toiture</t>
  </si>
  <si>
    <t>Mise en place de l’écran de sous-toiture (pare-pluie, pare-vapeur)</t>
  </si>
  <si>
    <t>3. Pose des matériaux de couverture</t>
  </si>
  <si>
    <t>Pose des tuiles (terre cuite, béton), ardoises, bacs acier, plaques fibro-ciment (hors amiante)</t>
  </si>
  <si>
    <t>Pose des éléments de faîtage, rives, noues</t>
  </si>
  <si>
    <t>4. Étanchéité et accessoires</t>
  </si>
  <si>
    <t>Pose de solins d’étanchéité (zinc, plomb, PVC)</t>
  </si>
  <si>
    <t>Réalisation des habillages de cheminée, fenêtres de toit, chéneaux</t>
  </si>
  <si>
    <t>Pose de gouttières, descentes d’eau pluviale et accessoires</t>
  </si>
  <si>
    <t>Mise en place des protections contre la neige ou le vent (stop-neige, grillages)</t>
  </si>
  <si>
    <t>6. Réparations et maintenance</t>
  </si>
  <si>
    <t>Réparation de tuiles cassées ou déplacées</t>
  </si>
  <si>
    <t>Remplacement de liteaux ou éléments bois pourris</t>
  </si>
  <si>
    <t>Colmatage de fuites ou infiltrations</t>
  </si>
  <si>
    <t>6.4</t>
  </si>
  <si>
    <t>Nettoyage de la toiture (débris, mousses, feuilles)</t>
  </si>
  <si>
    <t>N°6 ETANCHEITE</t>
  </si>
  <si>
    <t>1. Mise en œuvre de l’étanchéité</t>
  </si>
  <si>
    <t>Pose de membranes bitumineuses (torchis, rouleaux)</t>
  </si>
  <si>
    <t>Application de résines liquides (polyuréthane, epoxy)</t>
  </si>
  <si>
    <t>Pose de feuilles synthétiques (PVC, EPDM)</t>
  </si>
  <si>
    <t>Traitement des points singuliers : relevés, angles, pénétrations</t>
  </si>
  <si>
    <t>2. Protection de l’étanchéité</t>
  </si>
  <si>
    <t>Pose de protections mécaniques (dalles, gravillons, plaques)</t>
  </si>
  <si>
    <t>Mise en place de protections végétales (toitures végétalisées)</t>
  </si>
  <si>
    <t>Réalisation de protections contre les UV ou les agressions mécaniques</t>
  </si>
  <si>
    <t>3. Réparations et entretien</t>
  </si>
  <si>
    <t>Détection et réparation des infiltrations</t>
  </si>
  <si>
    <t>Réfection partielle de membranes ou joints</t>
  </si>
  <si>
    <t>Nettoyage des chéneaux, évacuations d’eau pluviale</t>
  </si>
  <si>
    <t>N°7 RAVALEMENT DE FACADE / ENDUIT</t>
  </si>
  <si>
    <t>1. Préparation des supports</t>
  </si>
  <si>
    <t>Nettoyage des façades (haute pression, sablage, gommage, peeling selon nature du support)</t>
  </si>
  <si>
    <t>Démoussage / traitement fongicide</t>
  </si>
  <si>
    <t>Application d’un fixateur ou primaire d’accrochage (si requis)</t>
  </si>
  <si>
    <t>2. Réparations ponctuelles</t>
  </si>
  <si>
    <t>Reprise de maçonneries (joints, éclats, fissures)</t>
  </si>
  <si>
    <t>3. Application d’enduits</t>
  </si>
  <si>
    <t>Enduit monocouche ou multicouche (à la chaux, ciment, RPE…)</t>
  </si>
  <si>
    <t>Projection ou application manuelle</t>
  </si>
  <si>
    <t>Dressage et finition (taloché, gratté, écrasé, lissé…)</t>
  </si>
  <si>
    <t>Enduit décoratif ou finition RSE / RPE</t>
  </si>
  <si>
    <t>Pose d’un sous-enduit d’accrochage</t>
  </si>
  <si>
    <t>Application manuelle ou mécanisée de la finition (acrylique, siloxane…)</t>
  </si>
  <si>
    <t>4. Ravalement avec peinture (si applicable)</t>
  </si>
  <si>
    <t>Application d’un fixateur ou impression</t>
  </si>
  <si>
    <t>Mise en œuvre de deux couches de peinture de façade (acrylique, siloxane, minérale…)</t>
  </si>
  <si>
    <t>Pose / Dépose bardage bois en facade</t>
  </si>
  <si>
    <t>Pose / Dépose panneau d'habillage en facade</t>
  </si>
  <si>
    <t>N°8 DOUBLAGE / FAUX PLAFOND / CLOISONS</t>
  </si>
  <si>
    <t>1. Pose des isolants</t>
  </si>
  <si>
    <t>Mise en place de l’isolation thermique, acoustique ou pare-vapeur dans les doublages ou cloisons</t>
  </si>
  <si>
    <t>Calfeutrement et ajustement</t>
  </si>
  <si>
    <t>2. Réalisation de cloisons</t>
  </si>
  <si>
    <t>Réalisation de cloisons (placo, BA13, etc.) sur ossature</t>
  </si>
  <si>
    <t>3. Réalisation des faux plafonds</t>
  </si>
  <si>
    <t>Réalisation des faux plafonds (rails, dalles ou plaques)</t>
  </si>
  <si>
    <t>4. Ouvertures et accessoires</t>
  </si>
  <si>
    <t>Réalisation des réservations pour portes, fenêtres, gaines techniques</t>
  </si>
  <si>
    <t>Pose des huisseries et encadrements</t>
  </si>
  <si>
    <t>N°9 ISOLATION</t>
  </si>
  <si>
    <t>1. Isolation des murs (extérieure)</t>
  </si>
  <si>
    <t>POSE ITE : Pose d'isolant par collage ou fixation mécanique (chevilles à rosace)</t>
  </si>
  <si>
    <t>2. Isolation des murs (intérieure)</t>
  </si>
  <si>
    <t>Pose en doublage sur ossature :</t>
  </si>
  <si>
    <t>POSE ITI (ossature métallique, paneaux ou rouleaux isolants, BA13)</t>
  </si>
  <si>
    <t>POSE ITI (mise en place de pare-vapeur si nécessaire)</t>
  </si>
  <si>
    <t>3. Isolation des combles et toitures</t>
  </si>
  <si>
    <t>Combles perdus :</t>
  </si>
  <si>
    <t>ISOLATION COMBLES PERDUS (Soufflage de laine minérale en vrac)</t>
  </si>
  <si>
    <t>ISOLATION COMBLES PERDUS (Pose de panneaux ou rouleaux sur le plancher)</t>
  </si>
  <si>
    <t>Rampants de toiture (sous toiture) :</t>
  </si>
  <si>
    <t>ISOLATION RAMANTS DE TOITURE (Pose entre chevrons ou en double couche croisée)</t>
  </si>
  <si>
    <t>ISOLATION RAMANTS DE TOITURE (Pose éventuelle d’un pare-vapeur et d’un frein vapeur)</t>
  </si>
  <si>
    <t>4. Isolation des planchers et dalles</t>
  </si>
  <si>
    <t>Pose de panneaux rigides sur dalle ou sous chape (polystyrène, PU, laine minérale haute densité)</t>
  </si>
  <si>
    <t>Réalisation de chape flottante ou plancher chauffant sur isolant</t>
  </si>
  <si>
    <t>5. Isolation des plafonds / sous-faces</t>
  </si>
  <si>
    <t>Traitement des ponts thermiques en nez de dalle ou refends</t>
  </si>
  <si>
    <t>N°10 MENUISERIES INTERIEURES</t>
  </si>
  <si>
    <t>Pose des habillages divers (plinthes compris)</t>
  </si>
  <si>
    <t>Pose d'une porte intérieure</t>
  </si>
  <si>
    <t>Pose des gardes corps et/ou mains-courantes</t>
  </si>
  <si>
    <t>Pose d'une menuiserie</t>
  </si>
  <si>
    <t>N°11 MENUISERIES EXTERIEURES</t>
  </si>
  <si>
    <t>Pose d'une portée d'entrée de bâtiment</t>
  </si>
  <si>
    <t>Pose d'un volet battant</t>
  </si>
  <si>
    <t>Pose d'un volet roulant à tablier PVC</t>
  </si>
  <si>
    <t>N°12 SERRURERIE</t>
  </si>
  <si>
    <t>Pose d'une porte de garage extérieure</t>
  </si>
  <si>
    <t>Pose d'un store</t>
  </si>
  <si>
    <t>Pose d'un equipement motorisé pour parking (Porte, Portail, Barrière..)</t>
  </si>
  <si>
    <t>Installation d'une barre de pivotement</t>
  </si>
  <si>
    <t>N°13 CARRELAGE FAIENCE</t>
  </si>
  <si>
    <t>1. Préparation du support</t>
  </si>
  <si>
    <t>Application d’un primaire d’accrochage si nécessaire</t>
  </si>
  <si>
    <t>Pose d’un système d’étanchéité (SPEC, SEL) dans zones humides</t>
  </si>
  <si>
    <t>2. Pose du carrelage au sol</t>
  </si>
  <si>
    <t xml:space="preserve">Pose du carrelage au sol </t>
  </si>
  <si>
    <t>Pose de plinthes carrelées ou à chant</t>
  </si>
  <si>
    <t>3. Pose de faïence murale</t>
  </si>
  <si>
    <t>Pose des carreaux muraux (faïence, pâte de verre, mosaïque)</t>
  </si>
  <si>
    <t>Pose de profils de finition (cornières, angles sortants)</t>
  </si>
  <si>
    <t>N°14 PEINTURE / REVETEMENTS DE SOL</t>
  </si>
  <si>
    <t>PEINTURE</t>
  </si>
  <si>
    <t>2. Application des couches de peinture</t>
  </si>
  <si>
    <t>Application des couches de peinture (primaire, finition)</t>
  </si>
  <si>
    <t>3. Travaux spécifiques</t>
  </si>
  <si>
    <t>Application d'une peinture de sol (garage, cave, locaux techniques)</t>
  </si>
  <si>
    <t>Application d'une peinture technique (intumescente, anti-humidité, traitement moisissure)</t>
  </si>
  <si>
    <t>REVETEMENT DE SOL</t>
  </si>
  <si>
    <t>2. Pose du revêtement</t>
  </si>
  <si>
    <t>Revêtements souples :</t>
  </si>
  <si>
    <t>REVETEMENT SOUPLE : Pose en lés ou en dalles (PVC, linoléum, caoutchouc…)</t>
  </si>
  <si>
    <t>Parquet (massif, contrecollé, stratifié) :</t>
  </si>
  <si>
    <t>PARQUET : Pose flottante, collée ou clouée</t>
  </si>
  <si>
    <t>PARQUET : Pose de sous-couche acoustique ou thermique</t>
  </si>
  <si>
    <t>Moquette :</t>
  </si>
  <si>
    <t>Pose de moquette</t>
  </si>
  <si>
    <t>3. Finitions</t>
  </si>
  <si>
    <t>Pose de plinthes assorties ou de finition</t>
  </si>
  <si>
    <t>Barres de seuil et accessoires</t>
  </si>
  <si>
    <t>Joints de dilatation ou de fractionnement</t>
  </si>
  <si>
    <t>N°15 PLOMBERIE</t>
  </si>
  <si>
    <t>Poser un réseau multicouche</t>
  </si>
  <si>
    <t>Poser une baignoire</t>
  </si>
  <si>
    <t>Poser un receveur de douche</t>
  </si>
  <si>
    <t>Poser un évier</t>
  </si>
  <si>
    <t>Poser un lavabo</t>
  </si>
  <si>
    <t>Poser un WC</t>
  </si>
  <si>
    <t>Poser les conduites gaz</t>
  </si>
  <si>
    <t>Poser/Remplacer une canalisation EP</t>
  </si>
  <si>
    <t>N°16 VENTILATION</t>
  </si>
  <si>
    <t>Poser des gaines de ventilation</t>
  </si>
  <si>
    <t>Poser une VMC</t>
  </si>
  <si>
    <t>Poser une centrale de traitement d'air</t>
  </si>
  <si>
    <t>Installer un split mural</t>
  </si>
  <si>
    <t>N°17 CHAUFFAGE</t>
  </si>
  <si>
    <t>Poser une chaudière gaz</t>
  </si>
  <si>
    <t>Installer une pompe à chaleur</t>
  </si>
  <si>
    <t>Poser un chauffe-eau</t>
  </si>
  <si>
    <t>Poser un radiateur</t>
  </si>
  <si>
    <t>Poser un poêle à bois ou à pellets</t>
  </si>
  <si>
    <t>N°14 ELECTRICITE</t>
  </si>
  <si>
    <t>Installer le réseau téléphonique</t>
  </si>
  <si>
    <t>Installer le réseau télévision</t>
  </si>
  <si>
    <t>Installer le réseau informatique</t>
  </si>
  <si>
    <t>Poser une installation électrique photovoltaïque</t>
  </si>
  <si>
    <t>Installation d'un équipement de contrôle d'accès/ d'Interphonie</t>
  </si>
  <si>
    <t>Installer un système de sécurité incendie</t>
  </si>
  <si>
    <t>Poser le réseau électique d'un logement</t>
  </si>
  <si>
    <t>Intervention sur Eclairage Extérieur (candelabre, borne,...)</t>
  </si>
  <si>
    <t>N°19 ASCENCEURS</t>
  </si>
  <si>
    <t>1. Installation de l’ascenseur</t>
  </si>
  <si>
    <t>Partie mécanique</t>
  </si>
  <si>
    <t>Installation d'un ascenceur</t>
  </si>
  <si>
    <t>Modernisation complète / remplacement d'un ascenseur</t>
  </si>
  <si>
    <t>Partie électrique / commande</t>
  </si>
  <si>
    <r>
      <t xml:space="preserve">Pose du </t>
    </r>
    <r>
      <rPr>
        <b/>
        <sz val="11"/>
        <color theme="1"/>
        <rFont val="Aptos Narrow"/>
        <family val="2"/>
        <scheme val="minor"/>
      </rPr>
      <t>tableau de commande</t>
    </r>
    <r>
      <rPr>
        <sz val="11"/>
        <color theme="1"/>
        <rFont val="Aptos Narrow"/>
        <family val="2"/>
        <scheme val="minor"/>
      </rPr>
      <t xml:space="preserve"> (armoire ou armoire compacte en gaine)</t>
    </r>
  </si>
  <si>
    <t>2. Audit et contrôle</t>
  </si>
  <si>
    <t>Audit des prestations d'entretien, de la sécurité et du bon fonctionnement des ascenseurs</t>
  </si>
  <si>
    <t xml:space="preserve">Contrôle technique réglementaire des ascenseurs selon les conditions 
imposées par le décret n° 2004-964 du 9 septembre 2004 et du décret n°2012-674 du 7 mai 2012.
</t>
  </si>
  <si>
    <t>N°20 ESPACES VERTS</t>
  </si>
  <si>
    <t>1. Terrassement et préparation des sols</t>
  </si>
  <si>
    <t>Débroussaillage et défrichage</t>
  </si>
  <si>
    <t>Abattage et dessouchage d’arbres</t>
  </si>
  <si>
    <t>Modelage du terrain (nivellement, création de talus, fossés, etc.)</t>
  </si>
  <si>
    <t>2. Plantation</t>
  </si>
  <si>
    <t>Plantation  (arbres, arbustes, haies)</t>
  </si>
  <si>
    <t>Mise en place de gazon (semis ou pose de gazon en plaques)</t>
  </si>
  <si>
    <t>4. Entretien courant (si marché de maintenance)</t>
  </si>
  <si>
    <t>Tonte de pelouses</t>
  </si>
  <si>
    <t>Taille des haies et arbustes</t>
  </si>
  <si>
    <t>Ramassage de feuilles</t>
  </si>
  <si>
    <t>Nettoyage et curage des fossés, bassins ou caniveaux</t>
  </si>
  <si>
    <t>5. Aménagements paysagers</t>
  </si>
  <si>
    <t>Pose de mobilier urbain (bancs, corbeilles, barrières)</t>
  </si>
  <si>
    <t>Création d’allées piétonnes (graviers, pavés, enrobé)</t>
  </si>
  <si>
    <t>Installation de clôtures végétales ou rigides</t>
  </si>
  <si>
    <t>5.4</t>
  </si>
  <si>
    <t>Création de murets paysagers, escaliers ou éléments décoratifs</t>
  </si>
  <si>
    <t>5.5</t>
  </si>
  <si>
    <t>Mise en place de bordures, pas japonais, pergolas</t>
  </si>
  <si>
    <t>N°21 VOIRIES ET DIVERS</t>
  </si>
  <si>
    <t>1. Terrassements généraux</t>
  </si>
  <si>
    <t>Excavation de tranchées, fouilles ou plateformes</t>
  </si>
  <si>
    <t>2. Voirie (chaussées, trottoirs, cheminements)</t>
  </si>
  <si>
    <t>Réalisation des couches de forme</t>
  </si>
  <si>
    <t>Mise en place de géotextiles ou géogrilles</t>
  </si>
  <si>
    <t>Réalisation des couches de fondation (GNT, graves, etc.)</t>
  </si>
  <si>
    <t>Pose des bordures (CC1, CC2, T2, etc.)</t>
  </si>
  <si>
    <t>Pose de caniveaux (béton, fonte, etc.)</t>
  </si>
  <si>
    <t>Réalisation de trottoirs, cheminements piétons (béton désactivé, pavés, enrobé, etc.)</t>
  </si>
  <si>
    <t>Réalisation de chaussées : enrobé, béton, pavés, bicouche, etc.</t>
  </si>
  <si>
    <t>3. Réseaux humides</t>
  </si>
  <si>
    <t>Réseaux d’assainissement eaux usées (EU)</t>
  </si>
  <si>
    <t>Réseaux d’eaux pluviales (EP)</t>
  </si>
  <si>
    <t>Pose de canalisations (PVC, béton, fonte, etc.)</t>
  </si>
  <si>
    <t>Pose de regards, avaloirs, grilles</t>
  </si>
  <si>
    <t>Étanchéité et essais de réseaux</t>
  </si>
  <si>
    <t>4. Réseaux secs</t>
  </si>
  <si>
    <t>Réseaux d’électricité (basse tension, éclairage public)</t>
  </si>
  <si>
    <t>Réseaux de télécommunications (fourreaux, chambres de tirage)</t>
  </si>
  <si>
    <t>Réseaux de gaz (avec entreprise agréée)</t>
  </si>
  <si>
    <t>Réseaux de fibre optique (fourreaux, boîtiers)</t>
  </si>
  <si>
    <t>4.5</t>
  </si>
  <si>
    <t>Pose de gaines, chambres, coffrets</t>
  </si>
  <si>
    <t>5. Éclairage public et mobilier urbain</t>
  </si>
  <si>
    <t>Pose de candélabres, bornes lumineuses</t>
  </si>
  <si>
    <t>Installation d’armoires de commande</t>
  </si>
  <si>
    <t>6. Gestion des eaux pluviales et infiltration</t>
  </si>
  <si>
    <t>Création de noues paysagères</t>
  </si>
  <si>
    <t>Fossés drainants</t>
  </si>
  <si>
    <t>Tranchées d’infiltration</t>
  </si>
  <si>
    <t>Bassins de rétention ou d’infiltration</t>
  </si>
  <si>
    <t>6.5</t>
  </si>
  <si>
    <t>Pose de séparateurs hydrocarbures</t>
  </si>
  <si>
    <t>Refection voirie et abords</t>
  </si>
  <si>
    <t>Poser une main courante en extérieur</t>
  </si>
  <si>
    <t>Remplacement d'une carte electronique de commande VMC</t>
  </si>
  <si>
    <t>du 18/09/2026 au 16/10/2026</t>
  </si>
  <si>
    <t>Remplacement d'une carte électronique de commande caisson VMC</t>
  </si>
  <si>
    <t>RUE DE LIERS, AVENUE SAINT SAENS ET RUE BIZET, SMSO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</si>
</sst>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8"/>
      <color rgb="FF00206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002060"/>
      <name val="Arial"/>
      <family val="2"/>
    </font>
    <font>
      <b/>
      <sz val="12"/>
      <color rgb="FFC00000"/>
      <name val="Arial"/>
      <family val="2"/>
    </font>
    <font>
      <b/>
      <sz val="11"/>
      <color rgb="FF002060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rgb="FF002060"/>
      <name val="Arial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4" tint="-0.249977111117893"/>
      <name val="Aptos Narrow"/>
      <family val="2"/>
      <scheme val="minor"/>
    </font>
    <font>
      <sz val="10"/>
      <color theme="4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2060"/>
      <name val="Arial"/>
      <family val="2"/>
    </font>
    <font>
      <sz val="12"/>
      <color rgb="FFEE0000"/>
      <name val="Arial"/>
      <family val="2"/>
    </font>
    <font>
      <b/>
      <sz val="11"/>
      <color rgb="FFEE0000"/>
      <name val="Arial"/>
      <family val="2"/>
    </font>
    <font>
      <b/>
      <sz val="12"/>
      <color rgb="FFEE0000"/>
      <name val="Arial"/>
      <family val="2"/>
    </font>
    <font>
      <sz val="11"/>
      <color rgb="FFEE0000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color rgb="FF002060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Calibri"/>
      <family val="2"/>
    </font>
    <font>
      <b/>
      <sz val="16"/>
      <color theme="1"/>
      <name val="Arial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7" fillId="0" borderId="15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" fillId="5" borderId="19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justify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 applyProtection="1">
      <alignment horizontal="left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 applyProtection="1">
      <alignment horizontal="left" vertical="center" wrapText="1"/>
      <protection locked="0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7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8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17" fillId="0" borderId="1" xfId="0" applyFont="1" applyBorder="1" applyAlignment="1">
      <alignment wrapText="1"/>
    </xf>
    <xf numFmtId="0" fontId="20" fillId="0" borderId="0" xfId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7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0" fillId="6" borderId="0" xfId="0" applyFill="1"/>
    <xf numFmtId="0" fontId="17" fillId="6" borderId="0" xfId="0" applyFont="1" applyFill="1" applyAlignment="1">
      <alignment horizontal="left" vertical="center"/>
    </xf>
    <xf numFmtId="0" fontId="17" fillId="6" borderId="0" xfId="0" applyFont="1" applyFill="1"/>
    <xf numFmtId="0" fontId="17" fillId="0" borderId="20" xfId="0" applyFont="1" applyBorder="1" applyAlignment="1">
      <alignment vertical="center" wrapText="1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3" fontId="8" fillId="0" borderId="10" xfId="0" applyNumberFormat="1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1" fillId="0" borderId="12" xfId="0" applyFont="1" applyBorder="1" applyAlignment="1" applyProtection="1">
      <alignment horizontal="center" vertical="center" wrapText="1"/>
      <protection locked="0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16" fontId="8" fillId="0" borderId="12" xfId="0" applyNumberFormat="1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0" borderId="14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0" borderId="14" xfId="0" applyFont="1" applyBorder="1" applyAlignment="1" applyProtection="1">
      <alignment horizontal="left" vertical="center"/>
      <protection locked="0"/>
    </xf>
    <xf numFmtId="0" fontId="8" fillId="0" borderId="12" xfId="0" applyFont="1" applyBorder="1" applyAlignment="1" applyProtection="1">
      <alignment horizontal="left" vertical="center"/>
      <protection locked="0"/>
    </xf>
    <xf numFmtId="0" fontId="26" fillId="0" borderId="8" xfId="0" applyFont="1" applyBorder="1" applyAlignment="1" applyProtection="1">
      <alignment horizontal="left" vertical="center" wrapText="1"/>
      <protection locked="0"/>
    </xf>
    <xf numFmtId="0" fontId="26" fillId="0" borderId="6" xfId="0" applyFont="1" applyBorder="1" applyAlignment="1" applyProtection="1">
      <alignment horizontal="left" vertical="center" wrapText="1"/>
      <protection locked="0"/>
    </xf>
    <xf numFmtId="0" fontId="26" fillId="0" borderId="8" xfId="0" applyFont="1" applyBorder="1" applyAlignment="1" applyProtection="1">
      <alignment horizontal="left" vertical="center"/>
      <protection locked="0"/>
    </xf>
    <xf numFmtId="0" fontId="26" fillId="0" borderId="6" xfId="0" applyFont="1" applyBorder="1" applyAlignment="1" applyProtection="1">
      <alignment horizontal="left" vertical="center"/>
      <protection locked="0"/>
    </xf>
    <xf numFmtId="0" fontId="23" fillId="0" borderId="8" xfId="0" applyFont="1" applyBorder="1" applyAlignment="1" applyProtection="1">
      <alignment horizontal="left" vertical="center" wrapText="1"/>
      <protection locked="0"/>
    </xf>
    <xf numFmtId="0" fontId="23" fillId="0" borderId="6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 applyProtection="1">
      <alignment horizontal="left" vertical="center" wrapText="1"/>
      <protection locked="0"/>
    </xf>
    <xf numFmtId="0" fontId="9" fillId="0" borderId="4" xfId="0" applyFont="1" applyBorder="1" applyAlignment="1" applyProtection="1">
      <alignment horizontal="left" vertical="center" wrapText="1"/>
      <protection locked="0"/>
    </xf>
    <xf numFmtId="0" fontId="26" fillId="0" borderId="0" xfId="0" applyFont="1" applyAlignment="1" applyProtection="1">
      <alignment horizontal="left" vertical="center" wrapText="1"/>
      <protection locked="0"/>
    </xf>
    <xf numFmtId="0" fontId="27" fillId="0" borderId="8" xfId="0" applyFont="1" applyBorder="1" applyAlignment="1" applyProtection="1">
      <alignment horizontal="left" vertical="center" wrapText="1"/>
      <protection locked="0"/>
    </xf>
    <xf numFmtId="0" fontId="27" fillId="0" borderId="6" xfId="0" applyFont="1" applyBorder="1" applyAlignment="1" applyProtection="1">
      <alignment horizontal="left" vertical="center" wrapText="1"/>
      <protection locked="0"/>
    </xf>
    <xf numFmtId="0" fontId="15" fillId="0" borderId="7" xfId="0" applyFont="1" applyBorder="1" applyAlignment="1" applyProtection="1">
      <alignment horizontal="left" vertical="center" wrapText="1"/>
      <protection locked="0"/>
    </xf>
    <xf numFmtId="0" fontId="15" fillId="0" borderId="11" xfId="0" applyFont="1" applyBorder="1" applyAlignment="1" applyProtection="1">
      <alignment horizontal="left" vertical="center" wrapText="1"/>
      <protection locked="0"/>
    </xf>
    <xf numFmtId="0" fontId="15" fillId="0" borderId="4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25" fillId="0" borderId="0" xfId="0" applyFont="1" applyAlignment="1" applyProtection="1">
      <alignment horizontal="left"/>
      <protection locked="0"/>
    </xf>
    <xf numFmtId="0" fontId="25" fillId="0" borderId="6" xfId="0" applyFont="1" applyBorder="1" applyAlignment="1" applyProtection="1">
      <alignment horizontal="left"/>
      <protection locked="0"/>
    </xf>
    <xf numFmtId="0" fontId="24" fillId="0" borderId="0" xfId="0" applyFont="1" applyAlignment="1" applyProtection="1">
      <alignment horizontal="left" vertical="center" wrapText="1"/>
      <protection locked="0"/>
    </xf>
    <xf numFmtId="0" fontId="24" fillId="0" borderId="6" xfId="0" applyFont="1" applyBorder="1" applyAlignment="1" applyProtection="1">
      <alignment horizontal="left" vertical="center" wrapText="1"/>
      <protection locked="0"/>
    </xf>
    <xf numFmtId="0" fontId="29" fillId="0" borderId="8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left" vertical="center" wrapText="1"/>
      <protection locked="0"/>
    </xf>
    <xf numFmtId="0" fontId="9" fillId="0" borderId="17" xfId="0" applyFont="1" applyBorder="1" applyAlignment="1" applyProtection="1">
      <alignment horizontal="left" vertical="center" wrapText="1"/>
      <protection locked="0"/>
    </xf>
    <xf numFmtId="0" fontId="11" fillId="0" borderId="9" xfId="0" applyFont="1" applyBorder="1" applyAlignment="1" applyProtection="1">
      <alignment horizontal="left" vertical="center" wrapText="1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14" fontId="9" fillId="0" borderId="17" xfId="0" applyNumberFormat="1" applyFont="1" applyBorder="1" applyAlignment="1" applyProtection="1">
      <alignment horizontal="left" vertical="center" wrapText="1"/>
      <protection locked="0"/>
    </xf>
    <xf numFmtId="0" fontId="9" fillId="0" borderId="18" xfId="0" applyFont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28" fillId="0" borderId="0" xfId="0" applyFont="1" applyAlignment="1" applyProtection="1">
      <alignment horizontal="left" vertical="center" wrapText="1"/>
      <protection locked="0"/>
    </xf>
    <xf numFmtId="0" fontId="28" fillId="0" borderId="6" xfId="0" applyFont="1" applyBorder="1" applyAlignment="1" applyProtection="1">
      <alignment horizontal="left" vertical="center" wrapText="1"/>
      <protection locked="0"/>
    </xf>
    <xf numFmtId="0" fontId="1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0" fillId="7" borderId="0" xfId="1" applyFill="1" applyBorder="1" applyAlignment="1">
      <alignment horizontal="center" vertical="center"/>
    </xf>
    <xf numFmtId="0" fontId="20" fillId="0" borderId="0" xfId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0" fillId="6" borderId="0" xfId="1" applyFill="1" applyBorder="1" applyAlignment="1">
      <alignment horizontal="center" vertical="center"/>
    </xf>
    <xf numFmtId="0" fontId="20" fillId="0" borderId="0" xfId="2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2" fillId="0" borderId="0" xfId="0" applyFont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1409700</xdr:colOff>
      <xdr:row>2</xdr:row>
      <xdr:rowOff>359833</xdr:rowOff>
    </xdr:to>
    <xdr:pic>
      <xdr:nvPicPr>
        <xdr:cNvPr id="3" name="Image 4" descr="Une image contenant texte, Police, Graphique, capture d’écran&#10;&#10;Le contenu généré par l’IA peut être incorrect.">
          <a:extLst>
            <a:ext uri="{FF2B5EF4-FFF2-40B4-BE49-F238E27FC236}">
              <a16:creationId xmlns:a16="http://schemas.microsoft.com/office/drawing/2014/main" id="{92C33D91-E623-D1B3-1BA4-AA881DF4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917" y="0"/>
          <a:ext cx="3769783" cy="111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illaume.goglin@plurial.fr" TargetMode="External"/><Relationship Id="rId13" Type="http://schemas.openxmlformats.org/officeDocument/2006/relationships/hyperlink" Target="mailto:clement.kobsch@plurial.fr" TargetMode="External"/><Relationship Id="rId18" Type="http://schemas.openxmlformats.org/officeDocument/2006/relationships/hyperlink" Target="mailto:hatim.allel@plurial.fr" TargetMode="External"/><Relationship Id="rId26" Type="http://schemas.openxmlformats.org/officeDocument/2006/relationships/hyperlink" Target="mailto:dominique.bogni@plurial.fr" TargetMode="External"/><Relationship Id="rId3" Type="http://schemas.openxmlformats.org/officeDocument/2006/relationships/hyperlink" Target="mailto:karene.fournier-poilvert@plurial.fr" TargetMode="External"/><Relationship Id="rId21" Type="http://schemas.openxmlformats.org/officeDocument/2006/relationships/hyperlink" Target="mailto:christophe.caron@plurial.fr" TargetMode="External"/><Relationship Id="rId7" Type="http://schemas.openxmlformats.org/officeDocument/2006/relationships/hyperlink" Target="mailto:yanis.yousfi@plurial.fr" TargetMode="External"/><Relationship Id="rId12" Type="http://schemas.openxmlformats.org/officeDocument/2006/relationships/hyperlink" Target="mailto:alexandre.gorrias@plurial.fr" TargetMode="External"/><Relationship Id="rId17" Type="http://schemas.openxmlformats.org/officeDocument/2006/relationships/hyperlink" Target="mailto:sebastien.herault@plurial.fr" TargetMode="External"/><Relationship Id="rId25" Type="http://schemas.openxmlformats.org/officeDocument/2006/relationships/hyperlink" Target="mailto:samy.wahham@plurial.fr" TargetMode="External"/><Relationship Id="rId2" Type="http://schemas.openxmlformats.org/officeDocument/2006/relationships/hyperlink" Target="mailto:hugues.lhermitte@plurial.fr" TargetMode="External"/><Relationship Id="rId16" Type="http://schemas.openxmlformats.org/officeDocument/2006/relationships/hyperlink" Target="mailto:fabrice.daumal@plurial.fr" TargetMode="External"/><Relationship Id="rId20" Type="http://schemas.openxmlformats.org/officeDocument/2006/relationships/hyperlink" Target="mailto:maxime.oyance@plurial.fr" TargetMode="External"/><Relationship Id="rId1" Type="http://schemas.openxmlformats.org/officeDocument/2006/relationships/hyperlink" Target="mailto:nicolas.wachnicki@plurial.fr" TargetMode="External"/><Relationship Id="rId6" Type="http://schemas.openxmlformats.org/officeDocument/2006/relationships/hyperlink" Target="mailto:marie.legoux@plurial.fr" TargetMode="External"/><Relationship Id="rId11" Type="http://schemas.openxmlformats.org/officeDocument/2006/relationships/hyperlink" Target="mailto:stephanie.sillet@plurial.fr" TargetMode="External"/><Relationship Id="rId24" Type="http://schemas.openxmlformats.org/officeDocument/2006/relationships/hyperlink" Target="mailto:laurence.charbonnier@plurial.fr" TargetMode="External"/><Relationship Id="rId5" Type="http://schemas.openxmlformats.org/officeDocument/2006/relationships/hyperlink" Target="mailto:larry.charvet@plurial.fr" TargetMode="External"/><Relationship Id="rId15" Type="http://schemas.openxmlformats.org/officeDocument/2006/relationships/hyperlink" Target="mailto:emie.patigny@plurial.fr" TargetMode="External"/><Relationship Id="rId23" Type="http://schemas.openxmlformats.org/officeDocument/2006/relationships/hyperlink" Target="mailto:quentin.tribault@plurial.fr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mailto:lucien.maujean@plurial.fr" TargetMode="External"/><Relationship Id="rId19" Type="http://schemas.openxmlformats.org/officeDocument/2006/relationships/hyperlink" Target="mailto:jerome.bellien@plurial.fr" TargetMode="External"/><Relationship Id="rId4" Type="http://schemas.openxmlformats.org/officeDocument/2006/relationships/hyperlink" Target="mailto:zaccari.sardi@plurial.fr" TargetMode="External"/><Relationship Id="rId9" Type="http://schemas.openxmlformats.org/officeDocument/2006/relationships/hyperlink" Target="mailto:brice.salou@plurial.fr" TargetMode="External"/><Relationship Id="rId14" Type="http://schemas.openxmlformats.org/officeDocument/2006/relationships/hyperlink" Target="mailto:hamed.chedly@plurial.fr" TargetMode="External"/><Relationship Id="rId22" Type="http://schemas.openxmlformats.org/officeDocument/2006/relationships/hyperlink" Target="mailto:camille.lelong@plurial.fr" TargetMode="External"/><Relationship Id="rId27" Type="http://schemas.openxmlformats.org/officeDocument/2006/relationships/hyperlink" Target="mailto:alexandre.maieron@pluria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2169-4D40-4FCF-B220-F376C2B4277C}">
  <sheetPr>
    <pageSetUpPr fitToPage="1"/>
  </sheetPr>
  <dimension ref="A1:K46"/>
  <sheetViews>
    <sheetView tabSelected="1" zoomScale="70" zoomScaleNormal="70" workbookViewId="0">
      <selection activeCell="K9" sqref="K9"/>
    </sheetView>
  </sheetViews>
  <sheetFormatPr baseColWidth="10" defaultColWidth="11.42578125" defaultRowHeight="15" x14ac:dyDescent="0.25"/>
  <cols>
    <col min="1" max="1" width="6.5703125" customWidth="1"/>
    <col min="2" max="2" width="29" customWidth="1"/>
    <col min="3" max="3" width="6.28515625" customWidth="1"/>
    <col min="4" max="4" width="44.140625" customWidth="1"/>
    <col min="5" max="5" width="5.7109375" customWidth="1"/>
    <col min="6" max="6" width="42" customWidth="1"/>
  </cols>
  <sheetData>
    <row r="1" spans="1:11" ht="27.75" customHeight="1" x14ac:dyDescent="0.25">
      <c r="A1" s="36"/>
      <c r="B1" s="36"/>
      <c r="C1" s="36"/>
      <c r="D1" s="36"/>
      <c r="E1" s="36"/>
      <c r="F1" s="36"/>
    </row>
    <row r="2" spans="1:11" ht="31.5" customHeight="1" x14ac:dyDescent="0.25">
      <c r="A2" s="36"/>
      <c r="B2" s="36"/>
      <c r="C2" s="36"/>
      <c r="D2" s="36"/>
      <c r="E2" s="36"/>
      <c r="F2" s="37" t="s">
        <v>0</v>
      </c>
    </row>
    <row r="3" spans="1:11" ht="30.75" customHeight="1" thickBot="1" x14ac:dyDescent="0.3">
      <c r="A3" s="36"/>
      <c r="B3" s="38"/>
      <c r="C3" s="38"/>
      <c r="D3" s="36"/>
      <c r="E3" s="36"/>
      <c r="F3" s="36"/>
    </row>
    <row r="4" spans="1:11" ht="30.75" customHeight="1" thickBot="1" x14ac:dyDescent="0.3">
      <c r="A4" s="91" t="s">
        <v>1</v>
      </c>
      <c r="B4" s="92"/>
      <c r="C4" s="81" t="s">
        <v>82</v>
      </c>
      <c r="D4" s="81"/>
      <c r="E4" s="81"/>
      <c r="F4" s="82"/>
    </row>
    <row r="5" spans="1:11" ht="43.5" customHeight="1" thickBot="1" x14ac:dyDescent="0.3">
      <c r="A5" s="89" t="s">
        <v>3</v>
      </c>
      <c r="B5" s="90"/>
      <c r="C5" s="83" t="s">
        <v>521</v>
      </c>
      <c r="D5" s="84"/>
      <c r="E5" s="84"/>
      <c r="F5" s="85"/>
    </row>
    <row r="6" spans="1:11" ht="43.5" customHeight="1" x14ac:dyDescent="0.25">
      <c r="A6" s="70" t="s">
        <v>5</v>
      </c>
      <c r="B6" s="71"/>
      <c r="C6" s="86" t="s">
        <v>523</v>
      </c>
      <c r="D6" s="87"/>
      <c r="E6" s="87"/>
      <c r="F6" s="88"/>
    </row>
    <row r="7" spans="1:11" ht="29.25" customHeight="1" x14ac:dyDescent="0.25">
      <c r="A7" s="70" t="s">
        <v>6</v>
      </c>
      <c r="B7" s="71"/>
      <c r="C7" s="72">
        <v>5117817</v>
      </c>
      <c r="D7" s="73"/>
      <c r="E7" s="73"/>
      <c r="F7" s="74"/>
    </row>
    <row r="8" spans="1:11" ht="15.75" thickBot="1" x14ac:dyDescent="0.3">
      <c r="A8" s="36"/>
      <c r="B8" s="39"/>
      <c r="C8" s="39"/>
      <c r="D8" s="36"/>
      <c r="E8" s="36"/>
      <c r="F8" s="36"/>
    </row>
    <row r="9" spans="1:11" ht="22.5" customHeight="1" x14ac:dyDescent="0.25">
      <c r="A9" s="105" t="s">
        <v>7</v>
      </c>
      <c r="B9" s="106"/>
      <c r="C9" s="106"/>
      <c r="D9" s="107"/>
      <c r="E9" s="106" t="s">
        <v>8</v>
      </c>
      <c r="F9" s="107"/>
      <c r="G9" s="14"/>
      <c r="K9" s="162"/>
    </row>
    <row r="10" spans="1:11" ht="20.100000000000001" customHeight="1" x14ac:dyDescent="0.25">
      <c r="A10" s="99" t="s">
        <v>524</v>
      </c>
      <c r="B10" s="100"/>
      <c r="C10" s="100"/>
      <c r="D10" s="101"/>
      <c r="E10" s="97" t="s">
        <v>9</v>
      </c>
      <c r="F10" s="98"/>
      <c r="G10" s="14"/>
    </row>
    <row r="11" spans="1:11" ht="20.100000000000001" customHeight="1" x14ac:dyDescent="0.25">
      <c r="A11" s="99"/>
      <c r="B11" s="100"/>
      <c r="C11" s="100"/>
      <c r="D11" s="101"/>
      <c r="E11" s="108" t="s">
        <v>10</v>
      </c>
      <c r="F11" s="94"/>
      <c r="G11" s="14"/>
    </row>
    <row r="12" spans="1:11" ht="20.100000000000001" customHeight="1" x14ac:dyDescent="0.25">
      <c r="A12" s="99"/>
      <c r="B12" s="100"/>
      <c r="C12" s="100"/>
      <c r="D12" s="101"/>
      <c r="E12" s="93" t="str">
        <f>VLOOKUP(E11,FORMULES!A35:F109,3,FALSE)</f>
        <v>06 43 25 48 05</v>
      </c>
      <c r="F12" s="94"/>
      <c r="G12" s="14"/>
    </row>
    <row r="13" spans="1:11" ht="41.25" customHeight="1" thickBot="1" x14ac:dyDescent="0.3">
      <c r="A13" s="102"/>
      <c r="B13" s="103"/>
      <c r="C13" s="103"/>
      <c r="D13" s="104"/>
      <c r="E13" s="95" t="str">
        <f>VLOOKUP(E11,FORMULES!A35:F109,5,FALSE)</f>
        <v>hatim.allel@plurial.fr</v>
      </c>
      <c r="F13" s="96"/>
      <c r="G13" s="14"/>
    </row>
    <row r="14" spans="1:11" ht="17.25" customHeight="1" x14ac:dyDescent="0.25">
      <c r="A14" s="105" t="s">
        <v>11</v>
      </c>
      <c r="B14" s="106"/>
      <c r="C14" s="106"/>
      <c r="D14" s="107"/>
      <c r="E14" s="109" t="s">
        <v>12</v>
      </c>
      <c r="F14" s="110"/>
      <c r="G14" s="14"/>
    </row>
    <row r="15" spans="1:11" ht="20.100000000000001" customHeight="1" x14ac:dyDescent="0.25">
      <c r="A15" s="99" t="s">
        <v>525</v>
      </c>
      <c r="B15" s="128"/>
      <c r="C15" s="128"/>
      <c r="D15" s="129"/>
      <c r="E15" s="93" t="s">
        <v>13</v>
      </c>
      <c r="F15" s="94"/>
      <c r="G15" s="14"/>
    </row>
    <row r="16" spans="1:11" ht="20.100000000000001" customHeight="1" x14ac:dyDescent="0.25">
      <c r="A16" s="130"/>
      <c r="B16" s="128"/>
      <c r="C16" s="128"/>
      <c r="D16" s="129"/>
      <c r="E16" s="93" t="s">
        <v>14</v>
      </c>
      <c r="F16" s="94"/>
      <c r="G16" s="14"/>
    </row>
    <row r="17" spans="1:7" ht="51" customHeight="1" x14ac:dyDescent="0.25">
      <c r="A17" s="130"/>
      <c r="B17" s="128"/>
      <c r="C17" s="128"/>
      <c r="D17" s="129"/>
      <c r="E17" s="117"/>
      <c r="F17" s="118"/>
      <c r="G17" s="14"/>
    </row>
    <row r="18" spans="1:7" ht="31.5" customHeight="1" x14ac:dyDescent="0.25">
      <c r="A18" s="114" t="s">
        <v>15</v>
      </c>
      <c r="B18" s="115"/>
      <c r="C18" s="115"/>
      <c r="D18" s="116"/>
      <c r="E18" s="119" t="s">
        <v>16</v>
      </c>
      <c r="F18" s="120"/>
      <c r="G18" s="14"/>
    </row>
    <row r="19" spans="1:7" ht="20.100000000000001" customHeight="1" x14ac:dyDescent="0.25">
      <c r="A19" s="121"/>
      <c r="B19" s="122"/>
      <c r="C19" s="122"/>
      <c r="D19" s="123"/>
      <c r="E19" s="40">
        <v>15</v>
      </c>
      <c r="F19" s="41" t="s">
        <v>17</v>
      </c>
      <c r="G19" s="14"/>
    </row>
    <row r="20" spans="1:7" ht="20.100000000000001" customHeight="1" x14ac:dyDescent="0.25">
      <c r="A20" s="124"/>
      <c r="B20" s="122"/>
      <c r="C20" s="122"/>
      <c r="D20" s="123"/>
      <c r="E20" s="40">
        <v>18</v>
      </c>
      <c r="F20" s="41" t="s">
        <v>18</v>
      </c>
      <c r="G20" s="14"/>
    </row>
    <row r="21" spans="1:7" ht="20.100000000000001" customHeight="1" x14ac:dyDescent="0.25">
      <c r="A21" s="124"/>
      <c r="B21" s="122"/>
      <c r="C21" s="122"/>
      <c r="D21" s="123"/>
      <c r="E21" s="40">
        <v>114</v>
      </c>
      <c r="F21" s="41" t="s">
        <v>19</v>
      </c>
      <c r="G21" s="14"/>
    </row>
    <row r="22" spans="1:7" ht="20.100000000000001" customHeight="1" thickBot="1" x14ac:dyDescent="0.3">
      <c r="A22" s="125"/>
      <c r="B22" s="126"/>
      <c r="C22" s="126"/>
      <c r="D22" s="127"/>
      <c r="E22" s="40">
        <v>17</v>
      </c>
      <c r="F22" s="41" t="s">
        <v>20</v>
      </c>
      <c r="G22" s="14"/>
    </row>
    <row r="23" spans="1:7" ht="28.5" customHeight="1" x14ac:dyDescent="0.25">
      <c r="A23" s="111" t="s">
        <v>21</v>
      </c>
      <c r="B23" s="112"/>
      <c r="C23" s="112"/>
      <c r="D23" s="112"/>
      <c r="E23" s="112"/>
      <c r="F23" s="113"/>
      <c r="G23" s="14"/>
    </row>
    <row r="24" spans="1:7" ht="24" customHeight="1" x14ac:dyDescent="0.25">
      <c r="A24" s="42" t="b">
        <v>0</v>
      </c>
      <c r="B24" s="43" t="s">
        <v>22</v>
      </c>
      <c r="C24" s="44" t="b">
        <v>0</v>
      </c>
      <c r="D24" s="45" t="s">
        <v>23</v>
      </c>
      <c r="E24" s="44" t="b">
        <v>0</v>
      </c>
      <c r="F24" s="46" t="s">
        <v>24</v>
      </c>
      <c r="G24" s="14"/>
    </row>
    <row r="25" spans="1:7" ht="36" customHeight="1" x14ac:dyDescent="0.25">
      <c r="A25" s="42" t="b">
        <v>0</v>
      </c>
      <c r="B25" s="45" t="s">
        <v>25</v>
      </c>
      <c r="C25" s="44" t="b">
        <v>0</v>
      </c>
      <c r="D25" s="45" t="s">
        <v>26</v>
      </c>
      <c r="E25" s="44" t="b">
        <v>1</v>
      </c>
      <c r="F25" s="46" t="s">
        <v>27</v>
      </c>
      <c r="G25" s="14"/>
    </row>
    <row r="26" spans="1:7" ht="24" customHeight="1" x14ac:dyDescent="0.25">
      <c r="A26" s="42" t="b">
        <v>1</v>
      </c>
      <c r="B26" s="45" t="s">
        <v>28</v>
      </c>
      <c r="C26" s="44" t="b">
        <v>0</v>
      </c>
      <c r="D26" s="45" t="s">
        <v>29</v>
      </c>
      <c r="E26" s="44" t="b">
        <v>0</v>
      </c>
      <c r="F26" s="46" t="s">
        <v>30</v>
      </c>
      <c r="G26" s="14"/>
    </row>
    <row r="27" spans="1:7" ht="24" customHeight="1" x14ac:dyDescent="0.25">
      <c r="A27" s="42" t="b">
        <v>1</v>
      </c>
      <c r="B27" s="45" t="s">
        <v>31</v>
      </c>
      <c r="C27" s="44" t="b">
        <v>0</v>
      </c>
      <c r="D27" s="45" t="s">
        <v>32</v>
      </c>
      <c r="E27" s="44" t="b">
        <v>0</v>
      </c>
      <c r="F27" s="46" t="s">
        <v>33</v>
      </c>
      <c r="G27" s="14"/>
    </row>
    <row r="28" spans="1:7" ht="36" customHeight="1" x14ac:dyDescent="0.25">
      <c r="A28" s="42" t="b">
        <v>1</v>
      </c>
      <c r="B28" s="45" t="s">
        <v>34</v>
      </c>
      <c r="C28" s="44" t="b">
        <v>0</v>
      </c>
      <c r="D28" s="45" t="s">
        <v>35</v>
      </c>
      <c r="E28" s="47"/>
      <c r="F28" s="46"/>
      <c r="G28" s="14"/>
    </row>
    <row r="29" spans="1:7" ht="33" customHeight="1" x14ac:dyDescent="0.25">
      <c r="A29" s="75" t="s">
        <v>36</v>
      </c>
      <c r="B29" s="76"/>
      <c r="C29" s="76"/>
      <c r="D29" s="76"/>
      <c r="E29" s="76"/>
      <c r="F29" s="77"/>
    </row>
    <row r="30" spans="1:7" s="1" customFormat="1" ht="30" customHeight="1" x14ac:dyDescent="0.25">
      <c r="A30" s="48" t="b">
        <f>OR(A28,C25)</f>
        <v>1</v>
      </c>
      <c r="B30" s="49" t="s">
        <v>37</v>
      </c>
      <c r="C30" s="50" t="b">
        <f>$A$26</f>
        <v>1</v>
      </c>
      <c r="D30" s="51" t="s">
        <v>38</v>
      </c>
      <c r="E30" s="50" t="b">
        <f>$E$25</f>
        <v>1</v>
      </c>
      <c r="F30" s="52" t="s">
        <v>39</v>
      </c>
    </row>
    <row r="31" spans="1:7" s="1" customFormat="1" ht="30" customHeight="1" x14ac:dyDescent="0.25">
      <c r="A31" s="48" t="b">
        <f>OR($A$24:$A$28,$C$24:$C$28,$E$24:$E$27)</f>
        <v>1</v>
      </c>
      <c r="B31" s="51" t="s">
        <v>40</v>
      </c>
      <c r="C31" s="50" t="b">
        <f>$A$26</f>
        <v>1</v>
      </c>
      <c r="D31" s="51" t="s">
        <v>41</v>
      </c>
      <c r="E31" s="50" t="b">
        <f>E26</f>
        <v>0</v>
      </c>
      <c r="F31" s="52" t="s">
        <v>42</v>
      </c>
    </row>
    <row r="32" spans="1:7" s="1" customFormat="1" ht="30" customHeight="1" x14ac:dyDescent="0.25">
      <c r="A32" s="48" t="b">
        <f>OR(C24,C28)</f>
        <v>0</v>
      </c>
      <c r="B32" s="51" t="s">
        <v>43</v>
      </c>
      <c r="C32" s="50" t="b">
        <f>A28</f>
        <v>1</v>
      </c>
      <c r="D32" s="51" t="s">
        <v>44</v>
      </c>
      <c r="E32" s="50" t="b">
        <f>$E$25</f>
        <v>1</v>
      </c>
      <c r="F32" s="52" t="s">
        <v>45</v>
      </c>
    </row>
    <row r="33" spans="1:7" s="1" customFormat="1" ht="30" customHeight="1" x14ac:dyDescent="0.25">
      <c r="A33" s="48" t="b">
        <f>OR(C25,E26)</f>
        <v>0</v>
      </c>
      <c r="B33" s="51" t="s">
        <v>46</v>
      </c>
      <c r="C33" s="50" t="b">
        <v>0</v>
      </c>
      <c r="D33" s="51" t="s">
        <v>47</v>
      </c>
      <c r="E33" s="50" t="b">
        <f>$A$26</f>
        <v>1</v>
      </c>
      <c r="F33" s="52" t="s">
        <v>48</v>
      </c>
    </row>
    <row r="34" spans="1:7" s="1" customFormat="1" ht="30" customHeight="1" x14ac:dyDescent="0.25">
      <c r="A34" s="48" t="b">
        <f>A25</f>
        <v>0</v>
      </c>
      <c r="B34" s="51" t="s">
        <v>49</v>
      </c>
      <c r="C34" s="53" t="b">
        <f>OR($A$24:$A$28,$C$24:$C$28,$E$24:$E$27)</f>
        <v>1</v>
      </c>
      <c r="D34" s="51" t="s">
        <v>50</v>
      </c>
      <c r="E34" s="50" t="b">
        <f>C26</f>
        <v>0</v>
      </c>
      <c r="F34" s="52" t="s">
        <v>51</v>
      </c>
    </row>
    <row r="35" spans="1:7" s="1" customFormat="1" ht="30" customHeight="1" x14ac:dyDescent="0.25">
      <c r="A35" s="48" t="b">
        <f>C24</f>
        <v>0</v>
      </c>
      <c r="B35" s="51" t="s">
        <v>52</v>
      </c>
      <c r="C35" s="50" t="b">
        <f>C28</f>
        <v>0</v>
      </c>
      <c r="D35" s="51" t="s">
        <v>53</v>
      </c>
      <c r="E35" s="50" t="b">
        <f>A24</f>
        <v>0</v>
      </c>
      <c r="F35" s="52" t="s">
        <v>54</v>
      </c>
    </row>
    <row r="36" spans="1:7" s="1" customFormat="1" ht="30" customHeight="1" x14ac:dyDescent="0.25">
      <c r="A36" s="54" t="b">
        <f>$A$26</f>
        <v>1</v>
      </c>
      <c r="B36" s="51" t="s">
        <v>55</v>
      </c>
      <c r="C36" s="50" t="b">
        <f>C26</f>
        <v>0</v>
      </c>
      <c r="D36" s="51" t="s">
        <v>56</v>
      </c>
      <c r="E36" s="53" t="b">
        <f>OR($A$24:$A$28,$C$24:$C$28,$E$24:$E$27)</f>
        <v>1</v>
      </c>
      <c r="F36" s="52" t="s">
        <v>57</v>
      </c>
    </row>
    <row r="37" spans="1:7" s="1" customFormat="1" ht="30" customHeight="1" x14ac:dyDescent="0.25">
      <c r="A37" s="48" t="b">
        <f>OR(A24,C28)</f>
        <v>0</v>
      </c>
      <c r="B37" s="51" t="s">
        <v>58</v>
      </c>
      <c r="C37" s="50" t="b">
        <f>$E$25</f>
        <v>1</v>
      </c>
      <c r="D37" s="51" t="s">
        <v>59</v>
      </c>
      <c r="E37" s="50" t="b">
        <v>0</v>
      </c>
      <c r="F37" s="52" t="s">
        <v>60</v>
      </c>
    </row>
    <row r="38" spans="1:7" s="1" customFormat="1" ht="30" customHeight="1" x14ac:dyDescent="0.25">
      <c r="A38" s="48" t="b">
        <f>OR(A24,C24)</f>
        <v>0</v>
      </c>
      <c r="B38" s="51" t="s">
        <v>61</v>
      </c>
      <c r="C38" s="50" t="b">
        <f>OR(C27,E24)</f>
        <v>0</v>
      </c>
      <c r="D38" s="51" t="s">
        <v>62</v>
      </c>
      <c r="E38" s="50" t="b">
        <f>E27</f>
        <v>0</v>
      </c>
      <c r="F38" s="52" t="s">
        <v>63</v>
      </c>
    </row>
    <row r="39" spans="1:7" s="1" customFormat="1" ht="30" customHeight="1" thickBot="1" x14ac:dyDescent="0.3">
      <c r="A39" s="55"/>
      <c r="B39" s="56"/>
      <c r="C39" s="57"/>
      <c r="D39" s="56"/>
      <c r="E39" s="57"/>
      <c r="F39" s="58"/>
    </row>
    <row r="40" spans="1:7" ht="27" customHeight="1" x14ac:dyDescent="0.25">
      <c r="A40" s="78" t="s">
        <v>64</v>
      </c>
      <c r="B40" s="79"/>
      <c r="C40" s="79"/>
      <c r="D40" s="79"/>
      <c r="E40" s="79"/>
      <c r="F40" s="80"/>
      <c r="G40" s="16"/>
    </row>
    <row r="41" spans="1:7" ht="33" customHeight="1" x14ac:dyDescent="0.25">
      <c r="A41" s="114" t="s">
        <v>65</v>
      </c>
      <c r="B41" s="115"/>
      <c r="C41" s="135" t="str">
        <f>E11</f>
        <v>HATIM ALLEL</v>
      </c>
      <c r="D41" s="135"/>
      <c r="E41" s="135"/>
      <c r="F41" s="136"/>
      <c r="G41" s="17"/>
    </row>
    <row r="42" spans="1:7" ht="33" customHeight="1" x14ac:dyDescent="0.25">
      <c r="A42" s="140" t="s">
        <v>66</v>
      </c>
      <c r="B42" s="141"/>
      <c r="C42" s="144" t="str">
        <f>E12</f>
        <v>06 43 25 48 05</v>
      </c>
      <c r="D42" s="144"/>
      <c r="E42" s="144"/>
      <c r="F42" s="145"/>
      <c r="G42" s="17"/>
    </row>
    <row r="43" spans="1:7" ht="33" customHeight="1" x14ac:dyDescent="0.25">
      <c r="A43" s="142" t="s">
        <v>67</v>
      </c>
      <c r="B43" s="143"/>
      <c r="C43" s="144" t="str">
        <f>E13</f>
        <v>hatim.allel@plurial.fr</v>
      </c>
      <c r="D43" s="144"/>
      <c r="E43" s="144"/>
      <c r="F43" s="145"/>
      <c r="G43" s="17"/>
    </row>
    <row r="44" spans="1:7" ht="30" customHeight="1" x14ac:dyDescent="0.25">
      <c r="A44" s="131" t="s">
        <v>68</v>
      </c>
      <c r="B44" s="132"/>
      <c r="C44" s="137">
        <v>46283</v>
      </c>
      <c r="D44" s="132"/>
      <c r="E44" s="132"/>
      <c r="F44" s="138"/>
      <c r="G44" s="16"/>
    </row>
    <row r="45" spans="1:7" ht="69.75" customHeight="1" thickBot="1" x14ac:dyDescent="0.3">
      <c r="A45" s="133" t="s">
        <v>69</v>
      </c>
      <c r="B45" s="134"/>
      <c r="C45" s="134"/>
      <c r="D45" s="134"/>
      <c r="E45" s="134"/>
      <c r="F45" s="139"/>
      <c r="G45" s="14"/>
    </row>
    <row r="46" spans="1:7" x14ac:dyDescent="0.25">
      <c r="B46" s="15"/>
      <c r="C46" s="15"/>
    </row>
  </sheetData>
  <sheetProtection selectLockedCells="1"/>
  <mergeCells count="37">
    <mergeCell ref="A41:B41"/>
    <mergeCell ref="A44:B44"/>
    <mergeCell ref="A45:D45"/>
    <mergeCell ref="C41:F41"/>
    <mergeCell ref="C44:F44"/>
    <mergeCell ref="E45:F45"/>
    <mergeCell ref="A42:B42"/>
    <mergeCell ref="A43:B43"/>
    <mergeCell ref="C42:F42"/>
    <mergeCell ref="C43:F43"/>
    <mergeCell ref="A23:F23"/>
    <mergeCell ref="A18:D18"/>
    <mergeCell ref="E17:F17"/>
    <mergeCell ref="E18:F18"/>
    <mergeCell ref="A19:D22"/>
    <mergeCell ref="A15:D17"/>
    <mergeCell ref="A9:D9"/>
    <mergeCell ref="A14:D14"/>
    <mergeCell ref="E9:F9"/>
    <mergeCell ref="E11:F11"/>
    <mergeCell ref="E14:F14"/>
    <mergeCell ref="A7:B7"/>
    <mergeCell ref="C7:F7"/>
    <mergeCell ref="A29:F29"/>
    <mergeCell ref="A40:F40"/>
    <mergeCell ref="C4:F4"/>
    <mergeCell ref="C5:F5"/>
    <mergeCell ref="C6:F6"/>
    <mergeCell ref="A6:B6"/>
    <mergeCell ref="A5:B5"/>
    <mergeCell ref="A4:B4"/>
    <mergeCell ref="E12:F12"/>
    <mergeCell ref="E13:F13"/>
    <mergeCell ref="E10:F10"/>
    <mergeCell ref="A10:D13"/>
    <mergeCell ref="E15:F15"/>
    <mergeCell ref="E16:F16"/>
  </mergeCells>
  <conditionalFormatting sqref="B24:F38">
    <cfRule type="expression" dxfId="0" priority="1">
      <formula>A24=TRUE</formula>
    </cfRule>
  </conditionalFormatting>
  <dataValidations count="5">
    <dataValidation type="list" allowBlank="1" showInputMessage="1" showErrorMessage="1" sqref="C4:F4" xr:uid="{0EBE9D40-0104-471D-A2EC-0E2AE0796AE0}">
      <formula1>LOT</formula1>
    </dataValidation>
    <dataValidation type="list" allowBlank="1" showInputMessage="1" showErrorMessage="1" sqref="E11:F11" xr:uid="{170E6655-0A98-4330-8236-1100C2B549DE}">
      <formula1>CHARGE_OPERATION</formula1>
    </dataValidation>
    <dataValidation showInputMessage="1" showErrorMessage="1" sqref="C6:F7" xr:uid="{0E496FB7-65FE-42C4-BF96-554302E23146}"/>
    <dataValidation allowBlank="1" showInputMessage="1" showErrorMessage="1" sqref="B1:B1048576" xr:uid="{C1DF7CB5-2222-4CB5-807F-8B318937DF05}"/>
    <dataValidation type="list" showInputMessage="1" showErrorMessage="1" sqref="C5:F5" xr:uid="{DF6313DF-FF33-4559-BA07-841D3EA5F9F5}">
      <formula1>INDIRECT($C$4)</formula1>
    </dataValidation>
  </dataValidations>
  <printOptions horizontalCentered="1" verticalCentered="1"/>
  <pageMargins left="0.25" right="0.25" top="0.75" bottom="0.75" header="0.3" footer="0.3"/>
  <pageSetup paperSize="9"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FEB3-DB61-435C-9071-D60287FCC433}">
  <dimension ref="A1:AR109"/>
  <sheetViews>
    <sheetView topLeftCell="H1" zoomScale="70" zoomScaleNormal="70" workbookViewId="0">
      <selection activeCell="P18" sqref="P18"/>
    </sheetView>
  </sheetViews>
  <sheetFormatPr baseColWidth="10" defaultColWidth="11.42578125" defaultRowHeight="15" x14ac:dyDescent="0.25"/>
  <cols>
    <col min="1" max="1" width="8.7109375" customWidth="1"/>
    <col min="2" max="2" width="20.85546875" customWidth="1"/>
    <col min="3" max="3" width="1.140625" customWidth="1"/>
    <col min="4" max="4" width="34.7109375" style="27" customWidth="1"/>
    <col min="5" max="5" width="1.140625" style="22" customWidth="1"/>
    <col min="6" max="6" width="30.5703125" style="27" customWidth="1"/>
    <col min="7" max="7" width="1.140625" style="22" customWidth="1"/>
    <col min="8" max="8" width="25.7109375" style="27" customWidth="1"/>
    <col min="9" max="9" width="1.140625" style="22" customWidth="1"/>
    <col min="10" max="10" width="25.7109375" style="26" customWidth="1"/>
    <col min="11" max="11" width="1.140625" style="26" customWidth="1"/>
    <col min="12" max="12" width="25.7109375" style="26" customWidth="1"/>
    <col min="13" max="13" width="1.140625" style="23" customWidth="1"/>
    <col min="14" max="14" width="25.7109375" style="23" customWidth="1"/>
    <col min="15" max="15" width="1.140625" style="23" customWidth="1"/>
    <col min="16" max="16" width="36.7109375" style="23" customWidth="1"/>
    <col min="17" max="17" width="1.7109375" style="23" customWidth="1"/>
    <col min="18" max="18" width="38.7109375" style="23" customWidth="1"/>
    <col min="19" max="19" width="1.7109375" style="8" customWidth="1"/>
    <col min="20" max="20" width="25.7109375" style="8" customWidth="1"/>
    <col min="21" max="21" width="1.7109375" style="8" customWidth="1"/>
    <col min="22" max="22" width="27.5703125" style="8" customWidth="1"/>
    <col min="23" max="23" width="1.7109375" style="8" customWidth="1"/>
    <col min="24" max="24" width="27.28515625" style="8" customWidth="1"/>
    <col min="25" max="25" width="1.7109375" style="8" customWidth="1"/>
    <col min="26" max="26" width="25.7109375" style="8" customWidth="1"/>
    <col min="27" max="27" width="1.7109375" style="8" customWidth="1"/>
    <col min="28" max="28" width="31.28515625" style="35" customWidth="1"/>
    <col min="29" max="29" width="1.7109375" style="8" customWidth="1"/>
    <col min="30" max="30" width="33" style="8" customWidth="1"/>
    <col min="31" max="31" width="1.7109375" style="8" customWidth="1"/>
    <col min="32" max="32" width="30.7109375" style="8" customWidth="1"/>
    <col min="33" max="33" width="1.7109375" style="8" customWidth="1"/>
    <col min="34" max="34" width="30.7109375" style="8" customWidth="1"/>
    <col min="35" max="35" width="1.7109375" style="8" customWidth="1"/>
    <col min="36" max="36" width="30.7109375" style="8" customWidth="1"/>
    <col min="37" max="37" width="1.7109375" customWidth="1"/>
    <col min="38" max="38" width="30.7109375" customWidth="1"/>
    <col min="39" max="39" width="1.7109375" customWidth="1"/>
    <col min="40" max="40" width="30.7109375" style="8" customWidth="1"/>
    <col min="41" max="41" width="1.7109375" style="8" customWidth="1"/>
    <col min="42" max="42" width="30.7109375" style="35" customWidth="1"/>
    <col min="43" max="43" width="1.7109375" style="8" customWidth="1"/>
    <col min="44" max="44" width="30.7109375" style="8" customWidth="1"/>
  </cols>
  <sheetData>
    <row r="1" spans="2:44" x14ac:dyDescent="0.25">
      <c r="B1" s="18" t="s">
        <v>70</v>
      </c>
      <c r="D1" s="32" t="s">
        <v>71</v>
      </c>
      <c r="E1"/>
      <c r="F1" s="32" t="s">
        <v>72</v>
      </c>
      <c r="G1"/>
      <c r="H1" s="33" t="s">
        <v>73</v>
      </c>
      <c r="I1"/>
      <c r="J1" s="34" t="s">
        <v>74</v>
      </c>
      <c r="K1" s="28"/>
      <c r="L1" s="34" t="s">
        <v>75</v>
      </c>
      <c r="M1" s="8"/>
      <c r="N1" s="34" t="s">
        <v>76</v>
      </c>
      <c r="O1" s="8"/>
      <c r="P1" s="34" t="s">
        <v>77</v>
      </c>
      <c r="Q1" s="8"/>
      <c r="R1" s="34" t="s">
        <v>78</v>
      </c>
      <c r="T1" s="34" t="s">
        <v>79</v>
      </c>
      <c r="U1" s="28"/>
      <c r="V1" s="20" t="s">
        <v>80</v>
      </c>
      <c r="W1" s="28"/>
      <c r="X1" s="20" t="s">
        <v>81</v>
      </c>
      <c r="Z1" s="20" t="s">
        <v>82</v>
      </c>
      <c r="AA1" s="28"/>
      <c r="AB1" s="34" t="s">
        <v>83</v>
      </c>
      <c r="AC1" s="28"/>
      <c r="AD1" s="34" t="s">
        <v>84</v>
      </c>
      <c r="AF1" s="20" t="s">
        <v>2</v>
      </c>
      <c r="AH1" s="20" t="s">
        <v>85</v>
      </c>
      <c r="AJ1" s="20" t="s">
        <v>86</v>
      </c>
      <c r="AL1" s="19" t="s">
        <v>87</v>
      </c>
      <c r="AN1" s="34" t="s">
        <v>88</v>
      </c>
      <c r="AP1" s="34" t="s">
        <v>89</v>
      </c>
      <c r="AR1" s="34" t="s">
        <v>90</v>
      </c>
    </row>
    <row r="2" spans="2:44" ht="127.9" customHeight="1" x14ac:dyDescent="0.25">
      <c r="B2" s="29" t="s">
        <v>71</v>
      </c>
      <c r="D2" s="25" t="str">
        <f>'LOT 1'!B5</f>
        <v>Dépose de plaques ou éléments en amiante-ciment (toiture, conduits, bardage)</v>
      </c>
      <c r="F2" s="25" t="str">
        <f>'LOT 2'!B4</f>
        <v>Dépose des éléments non porteurs : cloisons, plafonds, doublages</v>
      </c>
      <c r="H2" s="25" t="str">
        <f>'LOT 3'!B4</f>
        <v>Réalisation de semelles filantes ou isolées en béton armé</v>
      </c>
      <c r="J2" s="25" t="str">
        <f>'LOT 4'!B4</f>
        <v>Dépose de l’ancienne charpente ou de parties défectueuses</v>
      </c>
      <c r="L2" s="25" t="str">
        <f>'LOT 5'!B4</f>
        <v>Dépose des éléments de couverture (tuiles, ardoises, bac acier)</v>
      </c>
      <c r="N2" s="25" t="str">
        <f>'LOT 6'!B4</f>
        <v>Pose de membranes bitumineuses (torchis, rouleaux)</v>
      </c>
      <c r="P2" s="25" t="str">
        <f>'LOT 7'!B4</f>
        <v>Nettoyage des façades (haute pression, sablage, gommage, peeling selon nature du support)</v>
      </c>
      <c r="R2" s="25" t="str">
        <f>'LOT 8'!B4</f>
        <v>Mise en place de l’isolation thermique, acoustique ou pare-vapeur dans les doublages ou cloisons</v>
      </c>
      <c r="S2" s="23"/>
      <c r="T2" s="25" t="str">
        <f>'LOT 9'!B4</f>
        <v>POSE ITE : Pose d'isolant par collage ou fixation mécanique (chevilles à rosace)</v>
      </c>
      <c r="U2" s="23"/>
      <c r="V2" s="24" t="str">
        <f>'LOT 10'!B3</f>
        <v>Pose des habillages divers (plinthes compris)</v>
      </c>
      <c r="W2" s="23"/>
      <c r="X2" s="25" t="str">
        <f>'LOT 11'!B3</f>
        <v>Pose d'une portée d'entrée de bâtiment</v>
      </c>
      <c r="Y2" s="23"/>
      <c r="Z2" s="25" t="str">
        <f>'LOT 12'!B3</f>
        <v>Pose d'une portée d'entrée de bâtiment</v>
      </c>
      <c r="AA2" s="23"/>
      <c r="AB2" s="25" t="str">
        <f>'LOT 13'!B4</f>
        <v>Application d’un primaire d’accrochage si nécessaire</v>
      </c>
      <c r="AC2" s="23"/>
      <c r="AD2" s="25" t="str">
        <f>'LOT 14'!B4</f>
        <v>Application des couches de peinture (primaire, finition)</v>
      </c>
      <c r="AE2" s="23"/>
      <c r="AF2" s="25" t="str">
        <f>'LOT 15'!B3</f>
        <v>Poser un réseau multicouche</v>
      </c>
      <c r="AG2" s="23"/>
      <c r="AH2" s="25" t="str">
        <f>'LOT 16'!B3</f>
        <v>Poser des gaines de ventilation</v>
      </c>
      <c r="AI2" s="23"/>
      <c r="AJ2" s="25" t="str">
        <f>'LOT 17'!B3</f>
        <v>Poser une chaudière gaz</v>
      </c>
      <c r="AK2" s="22"/>
      <c r="AL2" s="25" t="str">
        <f>'LOT 18'!B3</f>
        <v>Installer le réseau téléphonique</v>
      </c>
      <c r="AM2" s="22"/>
      <c r="AN2" s="25" t="str">
        <f>'LOT 19'!B5</f>
        <v>Installation d'un ascenceur</v>
      </c>
      <c r="AO2" s="23"/>
      <c r="AP2" s="25" t="str">
        <f>'LOT 20'!B4</f>
        <v>Débroussaillage et défrichage</v>
      </c>
      <c r="AQ2" s="23"/>
      <c r="AR2" s="25" t="str">
        <f>'LOT 21'!B4</f>
        <v>Excavation de tranchées, fouilles ou plateformes</v>
      </c>
    </row>
    <row r="3" spans="2:44" ht="36" x14ac:dyDescent="0.25">
      <c r="B3" s="29" t="s">
        <v>72</v>
      </c>
      <c r="D3" s="25" t="str">
        <f>'LOT 1'!B6</f>
        <v>Retrait de flocages, calorifugeages ou matériaux friables (procédure lourde avec confinement)</v>
      </c>
      <c r="F3" s="25" t="str">
        <f>'LOT 2'!B5</f>
        <v>Dépose des équipements techniques : luminaires, radiateurs, sanitaires</v>
      </c>
      <c r="H3" s="25" t="str">
        <f>'LOT 3'!B5</f>
        <v>Création de longrines, plots ou radiers</v>
      </c>
      <c r="J3" s="25" t="str">
        <f>'LOT 4'!B5</f>
        <v>Démontage sécurisé en toiture occupée</v>
      </c>
      <c r="L3" s="25" t="str">
        <f>'LOT 5'!B5</f>
        <v>Retrait des liteaux ou voliges abîmés</v>
      </c>
      <c r="N3" s="25" t="str">
        <f>'LOT 6'!B5</f>
        <v>Application de résines liquides (polyuréthane, epoxy)</v>
      </c>
      <c r="P3" s="25" t="str">
        <f>'LOT 7'!B5</f>
        <v>Démoussage / traitement fongicide</v>
      </c>
      <c r="R3" s="25" t="str">
        <f>'LOT 8'!B5</f>
        <v>Calfeutrement et ajustement</v>
      </c>
      <c r="S3" s="23"/>
      <c r="T3" s="25" t="str">
        <f>'LOT 9'!B8</f>
        <v>POSE ITI (ossature métallique, paneaux ou rouleaux isolants, BA13)</v>
      </c>
      <c r="U3" s="23"/>
      <c r="V3" s="25" t="str">
        <f>'LOT 10'!B4</f>
        <v>Pose d'une porte intérieure</v>
      </c>
      <c r="W3" s="23"/>
      <c r="X3" s="25" t="str">
        <f>'LOT 11'!B4</f>
        <v>Pose d'un volet battant</v>
      </c>
      <c r="Y3" s="23"/>
      <c r="Z3" s="25" t="str">
        <f>'LOT 12'!B4</f>
        <v>Pose d'une porte intérieure</v>
      </c>
      <c r="AA3" s="23"/>
      <c r="AB3" s="25" t="str">
        <f>'LOT 13'!B5</f>
        <v>Pose d’un système d’étanchéité (SPEC, SEL) dans zones humides</v>
      </c>
      <c r="AC3" s="23"/>
      <c r="AD3" s="25" t="str">
        <f>'LOT 14'!B7</f>
        <v>Application d'une peinture de sol (garage, cave, locaux techniques)</v>
      </c>
      <c r="AE3" s="23"/>
      <c r="AF3" s="25" t="str">
        <f>'LOT 15'!B4</f>
        <v>Poser une évacuation d'EU</v>
      </c>
      <c r="AG3" s="23"/>
      <c r="AH3" s="25" t="str">
        <f>'LOT 16'!B4</f>
        <v>Poser une VMC</v>
      </c>
      <c r="AI3" s="23"/>
      <c r="AJ3" s="25" t="str">
        <f>'LOT 17'!B4</f>
        <v>Installer une pompe à chaleur</v>
      </c>
      <c r="AK3" s="22"/>
      <c r="AL3" s="25" t="str">
        <f>'LOT 18'!B4</f>
        <v>Installer le réseau télévision</v>
      </c>
      <c r="AM3" s="22"/>
      <c r="AN3" s="25" t="str">
        <f>'LOT 19'!B6</f>
        <v>Modernisation complète / remplacement d'un ascenseur</v>
      </c>
      <c r="AO3" s="23"/>
      <c r="AP3" s="25" t="str">
        <f>'LOT 20'!B5</f>
        <v>Abattage et dessouchage d’arbres</v>
      </c>
      <c r="AQ3" s="23"/>
      <c r="AR3" s="25" t="str">
        <f>'LOT 21'!B7</f>
        <v>Réalisation des couches de forme</v>
      </c>
    </row>
    <row r="4" spans="2:44" ht="36" x14ac:dyDescent="0.25">
      <c r="B4" s="29" t="s">
        <v>73</v>
      </c>
      <c r="D4" s="25" t="str">
        <f>'LOT 1'!B7</f>
        <v>Retrait de dalles de sol ou colle amiantée</v>
      </c>
      <c r="F4" s="25" t="str">
        <f>'LOT 2'!B6</f>
        <v>Dépose des menuiseries (portes, fenêtres)</v>
      </c>
      <c r="H4" s="25" t="str">
        <f>'LOT 3'!B6</f>
        <v>Réalisation de fondations profondes (pieux, micropieux si sous-traité)</v>
      </c>
      <c r="J4" s="25" t="str">
        <f>'LOT 4'!B6</f>
        <v>Traitement ou renforcement ponctuel des appuis (murs, poutres)</v>
      </c>
      <c r="L4" s="25" t="str">
        <f>'LOT 5'!B8</f>
        <v>Mise en place de l’écran de sous-toiture (pare-pluie, pare-vapeur)</v>
      </c>
      <c r="N4" s="25" t="str">
        <f>'LOT 6'!B6</f>
        <v>Pose de feuilles synthétiques (PVC, EPDM)</v>
      </c>
      <c r="P4" s="25" t="str">
        <f>'LOT 7'!B6</f>
        <v>Application d’un fixateur ou primaire d’accrochage (si requis)</v>
      </c>
      <c r="R4" s="25" t="str">
        <f>'LOT 8'!B8</f>
        <v>Réalisation de cloisons (placo, BA13, etc.) sur ossature</v>
      </c>
      <c r="S4" s="23"/>
      <c r="T4" s="25" t="str">
        <f>'LOT 9'!B9</f>
        <v>POSE ITI (mise en place de pare-vapeur si nécessaire)</v>
      </c>
      <c r="U4" s="23"/>
      <c r="V4" s="25" t="str">
        <f>'LOT 10'!B5</f>
        <v>Pose des gardes corps et/ou mains-courantes</v>
      </c>
      <c r="W4" s="23"/>
      <c r="X4" s="25" t="str">
        <f>'LOT 11'!B5</f>
        <v>Pose d'une menuiserie</v>
      </c>
      <c r="Y4" s="23"/>
      <c r="Z4" s="25" t="str">
        <f>'LOT 12'!B5</f>
        <v>Pose d'une porte de garage extérieure</v>
      </c>
      <c r="AA4" s="23"/>
      <c r="AB4" s="25" t="str">
        <f>'LOT 13'!B8</f>
        <v xml:space="preserve">Pose du carrelage au sol </v>
      </c>
      <c r="AC4" s="23"/>
      <c r="AD4" s="25" t="str">
        <f>'LOT 14'!B8</f>
        <v>Application d'une peinture technique (intumescente, anti-humidité, traitement moisissure)</v>
      </c>
      <c r="AE4" s="23"/>
      <c r="AF4" s="25" t="str">
        <f>'LOT 15'!B5</f>
        <v>Poser une baignoire</v>
      </c>
      <c r="AG4" s="23"/>
      <c r="AH4" s="25" t="str">
        <f>'LOT 16'!B5</f>
        <v>Poser une centrale de traitement d'air</v>
      </c>
      <c r="AI4" s="23"/>
      <c r="AJ4" s="25" t="str">
        <f>'LOT 17'!B5</f>
        <v>Poser un chauffe-eau</v>
      </c>
      <c r="AK4" s="22"/>
      <c r="AL4" s="25" t="str">
        <f>'LOT 18'!B5</f>
        <v>Installer le réseau informatique</v>
      </c>
      <c r="AM4" s="22"/>
      <c r="AN4" s="25" t="str">
        <f>'LOT 19'!B8</f>
        <v>Pose du tableau de commande (armoire ou armoire compacte en gaine)</v>
      </c>
      <c r="AO4" s="23"/>
      <c r="AP4" s="25" t="str">
        <f>'LOT 20'!B6</f>
        <v>Modelage du terrain (nivellement, création de talus, fossés, etc.)</v>
      </c>
      <c r="AQ4" s="23"/>
      <c r="AR4" s="25" t="str">
        <f>'LOT 21'!B8</f>
        <v>Mise en place de géotextiles ou géogrilles</v>
      </c>
    </row>
    <row r="5" spans="2:44" ht="36" x14ac:dyDescent="0.25">
      <c r="B5" s="29" t="s">
        <v>74</v>
      </c>
      <c r="D5" s="25" t="str">
        <f>'LOT 1'!B8</f>
        <v>Aspiration ou raclage des poussières amiantées</v>
      </c>
      <c r="F5" s="25" t="str">
        <f>'LOT 2'!B7</f>
        <v>Dépose des revêtements : sols souples, carrelages, faïences</v>
      </c>
      <c r="H5" s="25" t="str">
        <f>'LOT 3'!B9</f>
        <v>Pose de blocs béton (parpaings), briques, agglos cellulaires</v>
      </c>
      <c r="J5" s="25" t="str">
        <f>'LOT 4'!B9</f>
        <v>Pose d'une chapente bois</v>
      </c>
      <c r="L5" s="25" t="str">
        <f>'LOT 5'!B11</f>
        <v>Pose des tuiles (terre cuite, béton), ardoises, bacs acier, plaques fibro-ciment (hors amiante)</v>
      </c>
      <c r="N5" s="25" t="str">
        <f>'LOT 6'!B7</f>
        <v>Traitement des points singuliers : relevés, angles, pénétrations</v>
      </c>
      <c r="P5" s="25" t="str">
        <f>'LOT 7'!B9</f>
        <v>Reprise de maçonneries (joints, éclats, fissures)</v>
      </c>
      <c r="R5" s="25" t="str">
        <f>'LOT 8'!B11</f>
        <v>Réalisation des faux plafonds (rails, dalles ou plaques)</v>
      </c>
      <c r="S5" s="23"/>
      <c r="T5" s="25" t="str">
        <f>'LOT 9'!B13</f>
        <v>ISOLATION COMBLES PERDUS (Soufflage de laine minérale en vrac)</v>
      </c>
      <c r="U5" s="23"/>
      <c r="V5" s="25" t="str">
        <f>'LOT 10'!B6</f>
        <v>Pose d'une menuiserie</v>
      </c>
      <c r="W5" s="23"/>
      <c r="X5" s="25" t="str">
        <f>'LOT 11'!B6</f>
        <v>Pose d'un volet roulant à tablier PVC</v>
      </c>
      <c r="Y5" s="23"/>
      <c r="Z5" s="25" t="str">
        <f>'LOT 12'!B6</f>
        <v>Pose d'un store</v>
      </c>
      <c r="AA5" s="23"/>
      <c r="AB5" s="25" t="str">
        <f>'LOT 13'!B9</f>
        <v>Pose de plinthes carrelées ou à chant</v>
      </c>
      <c r="AC5" s="23"/>
      <c r="AD5" s="25" t="str">
        <f>'LOT 14'!B13</f>
        <v>REVETEMENT SOUPLE : Pose en lés ou en dalles (PVC, linoléum, caoutchouc…)</v>
      </c>
      <c r="AE5" s="23"/>
      <c r="AF5" s="25" t="str">
        <f>'LOT 15'!B6</f>
        <v>Poser un receveur de douche</v>
      </c>
      <c r="AG5" s="23"/>
      <c r="AH5" s="25" t="str">
        <f>'LOT 16'!B6</f>
        <v>Installer un split mural</v>
      </c>
      <c r="AI5" s="23"/>
      <c r="AJ5" s="25" t="str">
        <f>'LOT 17'!B6</f>
        <v>Poser un radiateur</v>
      </c>
      <c r="AK5" s="22"/>
      <c r="AL5" s="25" t="str">
        <f>'LOT 18'!B6</f>
        <v>Poser une installation électrique photovoltaïque</v>
      </c>
      <c r="AM5" s="22"/>
      <c r="AN5" s="25" t="str">
        <f>'LOT 19'!B10</f>
        <v>Audit des prestations d'entretien, de la sécurité et du bon fonctionnement des ascenseurs</v>
      </c>
      <c r="AO5" s="23"/>
      <c r="AP5" s="25" t="str">
        <f>'LOT 20'!B9</f>
        <v>Plantation  (arbres, arbustes, haies)</v>
      </c>
      <c r="AQ5" s="23"/>
      <c r="AR5" s="25" t="str">
        <f>'LOT 21'!B9</f>
        <v>Réalisation des couches de fondation (GNT, graves, etc.)</v>
      </c>
    </row>
    <row r="6" spans="2:44" ht="72" x14ac:dyDescent="0.25">
      <c r="B6" s="29" t="s">
        <v>75</v>
      </c>
      <c r="D6" s="25" t="str">
        <f>'LOT 1'!B9</f>
        <v>Encapsulage si conservation du support (application de fixateur ou résine)</v>
      </c>
      <c r="F6" s="25" t="str">
        <f>'LOT 2'!B8</f>
        <v>Dépose des réseaux intérieurs (plomberie, électricité, VMC)</v>
      </c>
      <c r="H6" s="25" t="str">
        <f>'LOT 3'!B10</f>
        <v>Montage de murs porteurs ou non porteurs</v>
      </c>
      <c r="J6" s="25" t="str">
        <f>'LOT 4'!B12</f>
        <v>Pose d'une charpente métallique (portiques, poutres, etc.)</v>
      </c>
      <c r="L6" s="25" t="str">
        <f>'LOT 5'!B12</f>
        <v>Pose des éléments de faîtage, rives, noues</v>
      </c>
      <c r="N6" s="25" t="str">
        <f>'LOT 6'!B10</f>
        <v>Pose de protections mécaniques (dalles, gravillons, plaques)</v>
      </c>
      <c r="P6" s="25" t="str">
        <f>'LOT 7'!B13</f>
        <v>Projection ou application manuelle</v>
      </c>
      <c r="R6" s="25" t="str">
        <f>'LOT 8'!B14</f>
        <v>Réalisation des réservations pour portes, fenêtres, gaines techniques</v>
      </c>
      <c r="S6" s="23"/>
      <c r="T6" s="25" t="str">
        <f>'LOT 9'!B14</f>
        <v>ISOLATION COMBLES PERDUS (Pose de panneaux ou rouleaux sur le plancher)</v>
      </c>
      <c r="U6" s="23"/>
      <c r="V6" s="23"/>
      <c r="W6" s="23"/>
      <c r="X6" s="23"/>
      <c r="Y6" s="23"/>
      <c r="Z6" s="25" t="str">
        <f>'LOT 12'!B7</f>
        <v>Pose d'un equipement motorisé pour parking (Porte, Portail, Barrière..)</v>
      </c>
      <c r="AA6" s="23"/>
      <c r="AB6" s="25" t="str">
        <f>'LOT 13'!B12</f>
        <v>Pose des carreaux muraux (faïence, pâte de verre, mosaïque)</v>
      </c>
      <c r="AC6" s="23"/>
      <c r="AD6" s="25" t="str">
        <f>'LOT 14'!B15</f>
        <v>PARQUET : Pose flottante, collée ou clouée</v>
      </c>
      <c r="AE6" s="23"/>
      <c r="AF6" s="25" t="str">
        <f>'LOT 15'!B7</f>
        <v>Poser un évier</v>
      </c>
      <c r="AG6" s="23"/>
      <c r="AH6" s="25" t="str">
        <f>'LOT 16'!B7</f>
        <v>Remplacement d'une carte electronique de commande VMC</v>
      </c>
      <c r="AI6" s="23"/>
      <c r="AJ6" s="25" t="str">
        <f>'LOT 17'!B7</f>
        <v>Poser un poêle à bois ou à pellets</v>
      </c>
      <c r="AK6" s="22"/>
      <c r="AL6" s="25" t="str">
        <f>'LOT 18'!B7</f>
        <v>Installation d'un équipement de contrôle d'accès/ d'Interphonie</v>
      </c>
      <c r="AM6" s="22"/>
      <c r="AN6" s="25" t="str">
        <f>'LOT 19'!B11</f>
        <v xml:space="preserve">Contrôle technique réglementaire des ascenseurs selon les conditions 
imposées par le décret n° 2004-964 du 9 septembre 2004 et du décret n°2012-674 du 7 mai 2012.
</v>
      </c>
      <c r="AO6" s="23"/>
      <c r="AP6" s="25" t="str">
        <f>'LOT 20'!B10</f>
        <v>Mise en place de gazon (semis ou pose de gazon en plaques)</v>
      </c>
      <c r="AQ6" s="23"/>
      <c r="AR6" s="25" t="str">
        <f>'LOT 21'!B10</f>
        <v>Pose des bordures (CC1, CC2, T2, etc.)</v>
      </c>
    </row>
    <row r="7" spans="2:44" ht="36" x14ac:dyDescent="0.25">
      <c r="B7" s="29" t="s">
        <v>76</v>
      </c>
      <c r="D7" s="25" t="str">
        <f>'LOT 1'!B12</f>
        <v>Aspiration de la zone avec aspirateur à filtration absolue (THE)</v>
      </c>
      <c r="F7" s="25" t="str">
        <f>'LOT 2'!B12</f>
        <v>Démolition de murs non porteurs à la masse, burineur</v>
      </c>
      <c r="H7" s="25" t="str">
        <f>'LOT 3'!B11</f>
        <v>Réalisation de chaînages horizontaux et verticaux</v>
      </c>
      <c r="J7" s="25" t="str">
        <f>'LOT 4'!B13</f>
        <v>Traitement anti-corrosion sur zones de coupe ou soudures</v>
      </c>
      <c r="L7" s="25" t="str">
        <f>'LOT 5'!B15</f>
        <v>Pose de solins d’étanchéité (zinc, plomb, PVC)</v>
      </c>
      <c r="N7" s="25" t="str">
        <f>'LOT 6'!B11</f>
        <v>Mise en place de protections végétales (toitures végétalisées)</v>
      </c>
      <c r="P7" s="25" t="str">
        <f>'LOT 7'!B14</f>
        <v>Dressage et finition (taloché, gratté, écrasé, lissé…)</v>
      </c>
      <c r="R7" s="25" t="str">
        <f>'LOT 8'!B15</f>
        <v>Pose des huisseries et encadrements</v>
      </c>
      <c r="S7" s="23"/>
      <c r="T7" s="25" t="str">
        <f>'LOT 9'!B17</f>
        <v>ISOLATION RAMANTS DE TOITURE (Pose éventuelle d’un pare-vapeur et d’un frein vapeur)</v>
      </c>
      <c r="U7" s="23"/>
      <c r="V7" s="23"/>
      <c r="W7" s="23"/>
      <c r="X7" s="23"/>
      <c r="Y7" s="23"/>
      <c r="Z7" s="25" t="str">
        <f>'LOT 12'!B8</f>
        <v>Installation d'une barre de pivotement</v>
      </c>
      <c r="AA7" s="23"/>
      <c r="AB7" s="25" t="str">
        <f>'LOT 13'!B13</f>
        <v>Pose de profils de finition (cornières, angles sortants)</v>
      </c>
      <c r="AC7" s="23"/>
      <c r="AD7" s="25" t="str">
        <f>'LOT 14'!B16</f>
        <v>PARQUET : Pose de sous-couche acoustique ou thermique</v>
      </c>
      <c r="AE7" s="23"/>
      <c r="AF7" s="25" t="str">
        <f>'LOT 15'!B8</f>
        <v>Poser un lavabo</v>
      </c>
      <c r="AG7" s="23"/>
      <c r="AH7" s="23"/>
      <c r="AI7" s="23"/>
      <c r="AJ7" s="23"/>
      <c r="AK7" s="22"/>
      <c r="AL7" s="25" t="str">
        <f>'LOT 18'!B8</f>
        <v>Installer un système de sécurité incendie</v>
      </c>
      <c r="AM7" s="22"/>
      <c r="AN7" s="26"/>
      <c r="AO7" s="23"/>
      <c r="AP7" s="25" t="str">
        <f>'LOT 20'!B13</f>
        <v>Tonte de pelouses</v>
      </c>
      <c r="AQ7" s="23"/>
      <c r="AR7" s="25" t="str">
        <f>'LOT 21'!B11</f>
        <v>Pose de caniveaux (béton, fonte, etc.)</v>
      </c>
    </row>
    <row r="8" spans="2:44" ht="36" x14ac:dyDescent="0.25">
      <c r="B8" s="29" t="s">
        <v>77</v>
      </c>
      <c r="D8" s="25" t="str">
        <f>'LOT 1'!B13</f>
        <v>Lavage humide des surfaces si nécessaire</v>
      </c>
      <c r="F8" s="25" t="str">
        <f>'LOT 2'!B13</f>
        <v>Démolition de petits ouvrages (escaliers, murets, appuis)</v>
      </c>
      <c r="H8" s="25" t="str">
        <f>'LOT 3'!B12</f>
        <v>Réalisation d'ouvertures : réservations, linteaux, seuils</v>
      </c>
      <c r="J8" s="25" t="str">
        <f>'LOT 4'!B16</f>
        <v>Application de traitement fongicide, insecticide ou ignifuge sur bois</v>
      </c>
      <c r="L8" s="25" t="str">
        <f>'LOT 5'!B16</f>
        <v>Réalisation des habillages de cheminée, fenêtres de toit, chéneaux</v>
      </c>
      <c r="N8" s="25" t="str">
        <f>'LOT 6'!B12</f>
        <v>Réalisation de protections contre les UV ou les agressions mécaniques</v>
      </c>
      <c r="P8" s="25" t="str">
        <f>'LOT 7'!B16</f>
        <v>Pose d’un sous-enduit d’accrochage</v>
      </c>
      <c r="R8" s="26"/>
      <c r="S8" s="23"/>
      <c r="T8" s="25" t="str">
        <f>'LOT 9'!B20</f>
        <v>Pose de panneaux rigides sur dalle ou sous chape (polystyrène, PU, laine minérale haute densité)</v>
      </c>
      <c r="U8" s="23"/>
      <c r="V8" s="23"/>
      <c r="W8" s="23"/>
      <c r="X8" s="23"/>
      <c r="Y8" s="23"/>
      <c r="Z8" s="25" t="str">
        <f>'LOT 12'!B9</f>
        <v>Poser une main courante en extérieur</v>
      </c>
      <c r="AA8" s="23"/>
      <c r="AC8" s="23"/>
      <c r="AD8" s="25" t="str">
        <f>'LOT 14'!B18</f>
        <v>Pose de moquette</v>
      </c>
      <c r="AE8" s="23"/>
      <c r="AF8" s="25" t="str">
        <f>'LOT 15'!B9</f>
        <v>Poser un WC</v>
      </c>
      <c r="AG8" s="23"/>
      <c r="AH8" s="23"/>
      <c r="AI8" s="23"/>
      <c r="AJ8" s="23"/>
      <c r="AK8" s="22"/>
      <c r="AL8" s="25" t="str">
        <f>'LOT 18'!B10</f>
        <v>Intervention sur Eclairage Extérieur (candelabre, borne,...)</v>
      </c>
      <c r="AM8" s="22"/>
      <c r="AO8" s="23"/>
      <c r="AP8" s="25" t="str">
        <f>'LOT 20'!B14</f>
        <v>Taille des haies et arbustes</v>
      </c>
      <c r="AQ8" s="23"/>
      <c r="AR8" s="25" t="str">
        <f>'LOT 21'!B12</f>
        <v>Réalisation de trottoirs, cheminements piétons (béton désactivé, pavés, enrobé, etc.)</v>
      </c>
    </row>
    <row r="9" spans="2:44" ht="36" x14ac:dyDescent="0.25">
      <c r="B9" s="29" t="s">
        <v>78</v>
      </c>
      <c r="F9" s="25" t="str">
        <f>'LOT 2'!B14</f>
        <v>Reprise ponctuelle de dalles ou planchers</v>
      </c>
      <c r="H9" s="25" t="str">
        <f>'LOT 3'!B13</f>
        <v>Remplissage de murs (en rénovation)</v>
      </c>
      <c r="J9" s="25" t="str">
        <f>'LOT 4'!B17</f>
        <v>Peinture antirouille ou galvanisation sur éléments métalliques</v>
      </c>
      <c r="L9" s="25" t="str">
        <f>'LOT 5'!B17</f>
        <v>Pose de gouttières, descentes d’eau pluviale et accessoires</v>
      </c>
      <c r="N9" s="25" t="str">
        <f>'LOT 6'!B15</f>
        <v>Détection et réparation des infiltrations</v>
      </c>
      <c r="P9" s="25" t="str">
        <f>'LOT 7'!B17</f>
        <v>Application manuelle ou mécanisée de la finition (acrylique, siloxane…)</v>
      </c>
      <c r="S9" s="23"/>
      <c r="T9" s="25" t="str">
        <f>'LOT 9'!B21</f>
        <v>Réalisation de chape flottante ou plancher chauffant sur isolant</v>
      </c>
      <c r="U9" s="23"/>
      <c r="V9" s="23"/>
      <c r="W9" s="23"/>
      <c r="X9" s="23"/>
      <c r="Y9" s="23"/>
      <c r="Z9" s="23"/>
      <c r="AA9" s="23"/>
      <c r="AC9" s="23"/>
      <c r="AD9" s="25" t="str">
        <f>'LOT 14'!B21</f>
        <v>Pose de plinthes assorties ou de finition</v>
      </c>
      <c r="AE9" s="23"/>
      <c r="AF9" s="25" t="str">
        <f>'LOT 15'!B10</f>
        <v>Poser les conduites gaz</v>
      </c>
      <c r="AG9" s="23"/>
      <c r="AH9" s="23"/>
      <c r="AI9" s="23"/>
      <c r="AJ9" s="23"/>
      <c r="AK9" s="22"/>
      <c r="AL9" s="23" t="s">
        <v>91</v>
      </c>
      <c r="AM9" s="22"/>
      <c r="AN9" s="26"/>
      <c r="AO9" s="23"/>
      <c r="AP9" s="25" t="str">
        <f>'LOT 20'!B15</f>
        <v>Ramassage de feuilles</v>
      </c>
      <c r="AQ9" s="23"/>
      <c r="AR9" s="25" t="str">
        <f>'LOT 21'!B13</f>
        <v>Réalisation de chaussées : enrobé, béton, pavés, bicouche, etc.</v>
      </c>
    </row>
    <row r="10" spans="2:44" ht="36" x14ac:dyDescent="0.25">
      <c r="B10" s="29" t="s">
        <v>79</v>
      </c>
      <c r="F10" s="25" t="str">
        <f>'LOT 2'!B16</f>
        <v>Démolition de murs porteurs au BRH (brise-roche hydraulique)</v>
      </c>
      <c r="H10" s="25" t="str">
        <f>'LOT 3'!B16</f>
        <v>Coffrage traditionnel ou modulaire (panneaux métalliques, bois)</v>
      </c>
      <c r="J10" s="25" t="str">
        <f>'LOT 4'!B18</f>
        <v>Pose de pare-vapeur ou pare-pluie en sous-toiture si nécessaire</v>
      </c>
      <c r="L10" s="25" t="str">
        <f>'LOT 5'!B18</f>
        <v>Mise en place des protections contre la neige ou le vent (stop-neige, grillages)</v>
      </c>
      <c r="N10" s="25" t="str">
        <f>'LOT 6'!B16</f>
        <v>Réfection partielle de membranes ou joints</v>
      </c>
      <c r="P10" s="25" t="str">
        <f>'LOT 7'!B20</f>
        <v>Application d’un fixateur ou impression</v>
      </c>
      <c r="S10" s="23"/>
      <c r="T10" s="25" t="str">
        <f>'LOT 9'!B24</f>
        <v>Traitement des ponts thermiques en nez de dalle ou refends</v>
      </c>
      <c r="U10" s="23"/>
      <c r="V10" s="23"/>
      <c r="W10" s="23"/>
      <c r="X10" s="23"/>
      <c r="Y10" s="23"/>
      <c r="Z10" s="23"/>
      <c r="AA10" s="23"/>
      <c r="AC10" s="23"/>
      <c r="AD10" s="25" t="str">
        <f>'LOT 14'!B22</f>
        <v>Barres de seuil et accessoires</v>
      </c>
      <c r="AE10" s="23"/>
      <c r="AF10" s="25" t="str">
        <f>'LOT 15'!B11</f>
        <v>Poser/Remplacer une canalisation EP</v>
      </c>
      <c r="AG10" s="23"/>
      <c r="AH10" s="23"/>
      <c r="AI10" s="23"/>
      <c r="AJ10" s="23"/>
      <c r="AK10" s="22"/>
      <c r="AL10" s="22"/>
      <c r="AM10" s="22"/>
      <c r="AN10" s="26"/>
      <c r="AO10" s="23"/>
      <c r="AP10" s="25" t="str">
        <f>'LOT 20'!B16</f>
        <v>Nettoyage et curage des fossés, bassins ou caniveaux</v>
      </c>
      <c r="AQ10" s="23"/>
      <c r="AR10" s="25" t="str">
        <f>'LOT 21'!B16</f>
        <v>Réseaux d’assainissement eaux usées (EU)</v>
      </c>
    </row>
    <row r="11" spans="2:44" ht="36" x14ac:dyDescent="0.25">
      <c r="B11" s="29" t="s">
        <v>80</v>
      </c>
      <c r="D11" s="26"/>
      <c r="F11" s="25" t="str">
        <f>'LOT 2'!B17</f>
        <v>Démolition de planchers béton ou structures métalliques</v>
      </c>
      <c r="H11" s="25" t="str">
        <f>'LOT 3'!B17</f>
        <v>Coulage des voiles et poteaux béton (avec contrôle vibrage et cure)</v>
      </c>
      <c r="J11" s="25" t="str">
        <f>'LOT 4'!B21</f>
        <v>Remplacement d’éléments de charpente affaiblis</v>
      </c>
      <c r="L11" s="25" t="str">
        <f>'LOT 5'!B21</f>
        <v>Réparation de tuiles cassées ou déplacées</v>
      </c>
      <c r="N11" s="25" t="str">
        <f>'LOT 6'!B17</f>
        <v>Nettoyage des chéneaux, évacuations d’eau pluviale</v>
      </c>
      <c r="P11" s="25" t="str">
        <f>'LOT 7'!B21</f>
        <v>Mise en œuvre de deux couches de peinture de façade (acrylique, siloxane, minérale…)</v>
      </c>
      <c r="S11" s="23"/>
      <c r="U11" s="23"/>
      <c r="V11" s="23"/>
      <c r="W11" s="23"/>
      <c r="X11" s="23"/>
      <c r="Y11" s="23"/>
      <c r="Z11" s="23"/>
      <c r="AA11" s="23"/>
      <c r="AC11" s="23"/>
      <c r="AD11" s="25" t="str">
        <f>'LOT 14'!B23</f>
        <v>Joints de dilatation ou de fractionnement</v>
      </c>
      <c r="AE11" s="23"/>
      <c r="AF11" s="25" t="s">
        <v>92</v>
      </c>
      <c r="AG11" s="23"/>
      <c r="AH11" s="23"/>
      <c r="AI11" s="23"/>
      <c r="AJ11" s="23"/>
      <c r="AK11" s="22"/>
      <c r="AL11" s="22"/>
      <c r="AM11" s="22"/>
      <c r="AN11" s="26"/>
      <c r="AO11" s="23"/>
      <c r="AP11" s="25" t="str">
        <f>'LOT 20'!B19</f>
        <v>Pose de mobilier urbain (bancs, corbeilles, barrières)</v>
      </c>
      <c r="AQ11" s="23"/>
      <c r="AR11" s="25" t="str">
        <f>'LOT 21'!B17</f>
        <v>Réseaux d’eaux pluviales (EP)</v>
      </c>
    </row>
    <row r="12" spans="2:44" ht="24" x14ac:dyDescent="0.25">
      <c r="B12" s="29" t="s">
        <v>81</v>
      </c>
      <c r="D12" s="26"/>
      <c r="F12" s="25" t="str">
        <f>'LOT 2'!B18</f>
        <v>Abattage de bâtiment (grignotage ou abattage à la pelle)</v>
      </c>
      <c r="H12" s="25" t="str">
        <f>'LOT 3'!B18</f>
        <v>Pose de prédalles, poutrelles, hourdis</v>
      </c>
      <c r="J12" s="25" t="str">
        <f>'LOT 4'!B22</f>
        <v>Pose de pièces de renfort (potelet, sabot, doublage)</v>
      </c>
      <c r="L12" s="25" t="str">
        <f>'LOT 5'!B22</f>
        <v>Remplacement de liteaux ou éléments bois pourris</v>
      </c>
      <c r="P12" s="25" t="str">
        <f>'LOT 7'!B22</f>
        <v>Pose / Dépose bardage bois en facade</v>
      </c>
      <c r="S12" s="23"/>
      <c r="U12" s="23"/>
      <c r="V12" s="23"/>
      <c r="W12" s="23"/>
      <c r="X12" s="23"/>
      <c r="Y12" s="23"/>
      <c r="Z12" s="23"/>
      <c r="AA12" s="23"/>
      <c r="AC12" s="23"/>
      <c r="AE12" s="23"/>
      <c r="AF12" s="60">
        <f>'LOT 15'!B12</f>
        <v>0</v>
      </c>
      <c r="AG12" s="23"/>
      <c r="AH12" s="23"/>
      <c r="AI12" s="23"/>
      <c r="AJ12" s="23"/>
      <c r="AK12" s="22"/>
      <c r="AL12" s="22"/>
      <c r="AM12" s="22"/>
      <c r="AN12" s="23"/>
      <c r="AO12" s="23"/>
      <c r="AP12" s="25" t="str">
        <f>'LOT 20'!B20</f>
        <v>Création d’allées piétonnes (graviers, pavés, enrobé)</v>
      </c>
      <c r="AQ12" s="23"/>
      <c r="AR12" s="25" t="str">
        <f>'LOT 21'!B18</f>
        <v>Pose de canalisations (PVC, béton, fonte, etc.)</v>
      </c>
    </row>
    <row r="13" spans="2:44" ht="24" x14ac:dyDescent="0.25">
      <c r="B13" s="29" t="s">
        <v>82</v>
      </c>
      <c r="D13" s="26"/>
      <c r="F13" s="25" t="str">
        <f>'LOT 2'!B19</f>
        <v>Sciage et carottage de béton (création de trémies ou réservations)</v>
      </c>
      <c r="H13" s="25" t="str">
        <f>'LOT 3'!B19</f>
        <v>Coulage de dalles pleine, sur coffrage, ou sur entrevous</v>
      </c>
      <c r="J13" s="25" t="str">
        <f>'LOT 4'!B23</f>
        <v>Traitement curatif de bois attaqué (champignons, insectes)</v>
      </c>
      <c r="L13" s="25" t="str">
        <f>'LOT 5'!B23</f>
        <v>Colmatage de fuites ou infiltrations</v>
      </c>
      <c r="P13" s="25" t="str">
        <f>'LOT 7'!B23</f>
        <v>Pose / Dépose panneau d'habillage en facade</v>
      </c>
      <c r="S13" s="23"/>
      <c r="U13" s="23"/>
      <c r="V13" s="23"/>
      <c r="W13" s="23"/>
      <c r="X13" s="23"/>
      <c r="Y13" s="23"/>
      <c r="Z13" s="23"/>
      <c r="AA13" s="23"/>
      <c r="AC13" s="23"/>
      <c r="AE13" s="23"/>
      <c r="AF13" s="23"/>
      <c r="AG13" s="23"/>
      <c r="AH13" s="23"/>
      <c r="AI13" s="23"/>
      <c r="AJ13" s="23"/>
      <c r="AK13" s="22"/>
      <c r="AL13" s="22"/>
      <c r="AM13" s="22"/>
      <c r="AN13" s="23"/>
      <c r="AO13" s="23"/>
      <c r="AP13" s="25" t="str">
        <f>'LOT 20'!B21</f>
        <v>Installation de clôtures végétales ou rigides</v>
      </c>
      <c r="AQ13" s="23"/>
      <c r="AR13" s="25" t="str">
        <f>'LOT 21'!B19</f>
        <v>Pose de regards, avaloirs, grilles</v>
      </c>
    </row>
    <row r="14" spans="2:44" ht="24" x14ac:dyDescent="0.25">
      <c r="B14" s="29" t="s">
        <v>83</v>
      </c>
      <c r="F14" s="25" t="str">
        <f>'LOT 2'!B22</f>
        <v>Démolition de cheminées ou souches en toiture</v>
      </c>
      <c r="H14" s="25" t="str">
        <f>'LOT 3'!B20</f>
        <v>Réalisation de trémies, gaines, cages d’escalier</v>
      </c>
      <c r="L14" s="25" t="str">
        <f>'LOT 5'!B24</f>
        <v>Nettoyage de la toiture (débris, mousses, feuilles)</v>
      </c>
      <c r="R14" s="26"/>
      <c r="S14" s="23"/>
      <c r="U14" s="23"/>
      <c r="V14" s="23"/>
      <c r="W14" s="23"/>
      <c r="X14" s="23"/>
      <c r="Y14" s="23"/>
      <c r="Z14" s="23"/>
      <c r="AA14" s="23"/>
      <c r="AB14" s="26"/>
      <c r="AC14" s="23"/>
      <c r="AE14" s="23"/>
      <c r="AF14" s="23"/>
      <c r="AG14" s="23"/>
      <c r="AH14" s="23"/>
      <c r="AI14" s="23"/>
      <c r="AJ14" s="23"/>
      <c r="AK14" s="22"/>
      <c r="AL14" s="22"/>
      <c r="AM14" s="22"/>
      <c r="AN14" s="23"/>
      <c r="AO14" s="23"/>
      <c r="AP14" s="25" t="str">
        <f>'LOT 20'!B22</f>
        <v>Création de murets paysagers, escaliers ou éléments décoratifs</v>
      </c>
      <c r="AQ14" s="23"/>
      <c r="AR14" s="25" t="str">
        <f>'LOT 21'!B20</f>
        <v>Étanchéité et essais de réseaux</v>
      </c>
    </row>
    <row r="15" spans="2:44" ht="36" x14ac:dyDescent="0.25">
      <c r="B15" s="29" t="s">
        <v>84</v>
      </c>
      <c r="F15" s="25" t="str">
        <f>'LOT 2'!B23</f>
        <v>Dépose de fondations superficielles</v>
      </c>
      <c r="H15" s="25" t="str">
        <f>'LOT 3'!B23</f>
        <v>Ouverture de murs porteurs (avec pose de linteaux ou poutres métalliques)</v>
      </c>
      <c r="R15" s="26"/>
      <c r="S15" s="23"/>
      <c r="U15" s="23"/>
      <c r="V15" s="23"/>
      <c r="W15" s="23"/>
      <c r="X15" s="23"/>
      <c r="Y15" s="23"/>
      <c r="Z15" s="23"/>
      <c r="AA15" s="23"/>
      <c r="AB15" s="26"/>
      <c r="AC15" s="23"/>
      <c r="AE15" s="23"/>
      <c r="AF15" s="23"/>
      <c r="AG15" s="23"/>
      <c r="AH15" s="23"/>
      <c r="AI15" s="23"/>
      <c r="AJ15" s="23"/>
      <c r="AK15" s="22"/>
      <c r="AL15" s="22"/>
      <c r="AM15" s="22"/>
      <c r="AN15" s="23"/>
      <c r="AO15" s="23"/>
      <c r="AP15" s="25" t="str">
        <f>'LOT 20'!B23</f>
        <v>Mise en place de bordures, pas japonais, pergolas</v>
      </c>
      <c r="AQ15" s="23"/>
      <c r="AR15" s="25" t="str">
        <f>'LOT 21'!B23</f>
        <v>Réseaux d’électricité (basse tension, éclairage public)</v>
      </c>
    </row>
    <row r="16" spans="2:44" ht="36" x14ac:dyDescent="0.25">
      <c r="B16" s="29" t="s">
        <v>2</v>
      </c>
      <c r="F16" s="25" t="str">
        <f>'LOT 2'!B24</f>
        <v>Sciage de dalles ou murs en milieux contraints</v>
      </c>
      <c r="H16" s="25" t="str">
        <f>'LOT 3'!B24</f>
        <v>Renforcement de planchers (résines, fibres, béton armé complémentaire)</v>
      </c>
      <c r="R16" s="26"/>
      <c r="S16" s="23"/>
      <c r="U16" s="23"/>
      <c r="V16" s="23"/>
      <c r="W16" s="23"/>
      <c r="X16" s="23"/>
      <c r="Y16" s="23"/>
      <c r="Z16" s="23"/>
      <c r="AA16" s="23"/>
      <c r="AC16" s="23"/>
      <c r="AE16" s="23"/>
      <c r="AF16" s="23"/>
      <c r="AG16" s="23"/>
      <c r="AH16" s="23"/>
      <c r="AI16" s="23"/>
      <c r="AJ16" s="23"/>
      <c r="AK16" s="22"/>
      <c r="AL16" s="22"/>
      <c r="AM16" s="22"/>
      <c r="AN16" s="23"/>
      <c r="AO16" s="23"/>
      <c r="AP16" s="25" t="s">
        <v>93</v>
      </c>
      <c r="AQ16" s="23"/>
      <c r="AR16" s="25" t="str">
        <f>'LOT 21'!B24</f>
        <v>Réseaux de télécommunications (fourreaux, chambres de tirage)</v>
      </c>
    </row>
    <row r="17" spans="2:44" ht="24" x14ac:dyDescent="0.25">
      <c r="B17" s="29" t="s">
        <v>85</v>
      </c>
      <c r="F17" s="25" t="str">
        <f>'LOT 2'!B25</f>
        <v>Intervention en site occupé (zones horaires, protections renforcées)</v>
      </c>
      <c r="H17" s="25" t="str">
        <f>'LOT 3'!B25</f>
        <v>Réalisation de massifs ou socles pour équipements techniques</v>
      </c>
      <c r="P17" s="26"/>
      <c r="S17" s="23"/>
      <c r="U17" s="23"/>
      <c r="V17" s="23"/>
      <c r="W17" s="23"/>
      <c r="X17" s="23"/>
      <c r="Y17" s="23"/>
      <c r="Z17" s="23"/>
      <c r="AA17" s="23"/>
      <c r="AC17" s="23"/>
      <c r="AE17" s="23"/>
      <c r="AF17" s="23"/>
      <c r="AG17" s="23"/>
      <c r="AH17" s="23"/>
      <c r="AI17" s="23"/>
      <c r="AJ17" s="23"/>
      <c r="AK17" s="22"/>
      <c r="AL17" s="22"/>
      <c r="AM17" s="22"/>
      <c r="AN17" s="23"/>
      <c r="AO17" s="23"/>
      <c r="AQ17" s="23"/>
      <c r="AR17" s="25" t="str">
        <f>'LOT 21'!B25</f>
        <v>Réseaux de gaz (avec entreprise agréée)</v>
      </c>
    </row>
    <row r="18" spans="2:44" ht="24" x14ac:dyDescent="0.25">
      <c r="B18" s="29" t="s">
        <v>86</v>
      </c>
      <c r="F18" s="25" t="str">
        <f>'LOT 2'!B26</f>
        <v>Travaux en milieu urbain / bâtiment mitoyen (procédures spécifiques)</v>
      </c>
      <c r="H18" s="25" t="str">
        <f>'LOT 3'!B26</f>
        <v>Injecteurs / coulis pour consolidation si zone sensible</v>
      </c>
      <c r="S18" s="23"/>
      <c r="U18" s="23"/>
      <c r="V18" s="23"/>
      <c r="W18" s="23"/>
      <c r="X18" s="23"/>
      <c r="Y18" s="23"/>
      <c r="Z18" s="23"/>
      <c r="AA18" s="23"/>
      <c r="AB18" s="26"/>
      <c r="AC18" s="23"/>
      <c r="AE18" s="23"/>
      <c r="AF18" s="23"/>
      <c r="AG18" s="23"/>
      <c r="AH18" s="23"/>
      <c r="AI18" s="23"/>
      <c r="AJ18" s="23"/>
      <c r="AK18" s="22"/>
      <c r="AL18" s="22"/>
      <c r="AM18" s="22"/>
      <c r="AN18" s="23"/>
      <c r="AO18" s="23"/>
      <c r="AQ18" s="23"/>
      <c r="AR18" s="25" t="str">
        <f>'LOT 21'!B26</f>
        <v>Réseaux de fibre optique (fourreaux, boîtiers)</v>
      </c>
    </row>
    <row r="19" spans="2:44" ht="24" x14ac:dyDescent="0.25">
      <c r="B19" s="29" t="s">
        <v>87</v>
      </c>
      <c r="D19" s="26"/>
      <c r="F19" s="26"/>
      <c r="H19" s="25" t="str">
        <f>'LOT 3'!B29</f>
        <v>Réservations pour réseaux techniques (gaines, traversées)</v>
      </c>
      <c r="S19" s="23"/>
      <c r="T19" s="26"/>
      <c r="U19" s="23"/>
      <c r="V19" s="23"/>
      <c r="W19" s="23"/>
      <c r="X19" s="23"/>
      <c r="Y19" s="23"/>
      <c r="Z19" s="23"/>
      <c r="AA19" s="23"/>
      <c r="AB19" s="26"/>
      <c r="AC19" s="23"/>
      <c r="AE19" s="23"/>
      <c r="AF19" s="23"/>
      <c r="AG19" s="23"/>
      <c r="AH19" s="23"/>
      <c r="AI19" s="23"/>
      <c r="AJ19" s="23"/>
      <c r="AK19" s="22"/>
      <c r="AL19" s="22"/>
      <c r="AM19" s="22"/>
      <c r="AN19" s="23"/>
      <c r="AO19" s="23"/>
      <c r="AQ19" s="23"/>
      <c r="AR19" s="25" t="str">
        <f>'LOT 21'!B27</f>
        <v>Pose de gaines, chambres, coffrets</v>
      </c>
    </row>
    <row r="20" spans="2:44" ht="24" x14ac:dyDescent="0.25">
      <c r="B20" s="29" t="s">
        <v>88</v>
      </c>
      <c r="F20" s="26"/>
      <c r="H20" s="25" t="str">
        <f>'LOT 3'!B32</f>
        <v>Pose de membranes d’étanchéité sous dallage</v>
      </c>
      <c r="S20" s="23"/>
      <c r="T20" s="26"/>
      <c r="U20" s="23"/>
      <c r="V20" s="23"/>
      <c r="W20" s="23"/>
      <c r="X20" s="23"/>
      <c r="Y20" s="23"/>
      <c r="Z20" s="23"/>
      <c r="AA20" s="23"/>
      <c r="AB20" s="26"/>
      <c r="AC20" s="23"/>
      <c r="AE20" s="23"/>
      <c r="AF20" s="23"/>
      <c r="AG20" s="23"/>
      <c r="AH20" s="23"/>
      <c r="AI20" s="23"/>
      <c r="AJ20" s="23"/>
      <c r="AK20" s="22"/>
      <c r="AL20" s="22"/>
      <c r="AM20" s="22"/>
      <c r="AN20" s="23"/>
      <c r="AO20" s="23"/>
      <c r="AQ20" s="23"/>
      <c r="AR20" s="25" t="str">
        <f>'LOT 21'!B30</f>
        <v>Pose de candélabres, bornes lumineuses</v>
      </c>
    </row>
    <row r="21" spans="2:44" ht="24" x14ac:dyDescent="0.25">
      <c r="B21" s="29" t="s">
        <v>89</v>
      </c>
      <c r="F21" s="26"/>
      <c r="H21" s="25" t="str">
        <f>'LOT 3'!B33</f>
        <v>Traitement des joints de dilatation ou de construction</v>
      </c>
      <c r="S21" s="23"/>
      <c r="U21" s="23"/>
      <c r="V21" s="23"/>
      <c r="W21" s="23"/>
      <c r="X21" s="23"/>
      <c r="Y21" s="23"/>
      <c r="Z21" s="23"/>
      <c r="AA21" s="23"/>
      <c r="AB21" s="26"/>
      <c r="AC21" s="23"/>
      <c r="AE21" s="23"/>
      <c r="AF21" s="23"/>
      <c r="AG21" s="23"/>
      <c r="AH21" s="23"/>
      <c r="AI21" s="23"/>
      <c r="AJ21" s="23"/>
      <c r="AK21" s="22"/>
      <c r="AL21" s="22"/>
      <c r="AM21" s="22"/>
      <c r="AN21" s="23"/>
      <c r="AO21" s="23"/>
      <c r="AQ21" s="23"/>
      <c r="AR21" s="25" t="str">
        <f>'LOT 21'!B31</f>
        <v>Installation d’armoires de commande</v>
      </c>
    </row>
    <row r="22" spans="2:44" ht="36" x14ac:dyDescent="0.25">
      <c r="B22" s="29" t="s">
        <v>90</v>
      </c>
      <c r="H22" s="25" t="str">
        <f>'LOT 3'!B34</f>
        <v>Application de produit de cure, hydrofuge, ou traitement anti-carbonatation</v>
      </c>
      <c r="S22" s="23"/>
      <c r="T22" s="23"/>
      <c r="U22" s="23"/>
      <c r="V22" s="23"/>
      <c r="W22" s="23"/>
      <c r="X22" s="23"/>
      <c r="Y22" s="23"/>
      <c r="Z22" s="23"/>
      <c r="AA22" s="23"/>
      <c r="AB22" s="26"/>
      <c r="AC22" s="23"/>
      <c r="AE22" s="23"/>
      <c r="AF22" s="23"/>
      <c r="AG22" s="23"/>
      <c r="AH22" s="23"/>
      <c r="AI22" s="23"/>
      <c r="AJ22" s="23"/>
      <c r="AK22" s="22"/>
      <c r="AL22" s="22"/>
      <c r="AM22" s="22"/>
      <c r="AN22" s="23"/>
      <c r="AO22" s="23"/>
      <c r="AQ22" s="23"/>
      <c r="AR22" s="25" t="str">
        <f>'LOT 21'!B34</f>
        <v>Création de noues paysagères</v>
      </c>
    </row>
    <row r="23" spans="2:44" ht="24" x14ac:dyDescent="0.25">
      <c r="B23" s="69" t="s">
        <v>94</v>
      </c>
      <c r="H23" s="25" t="s">
        <v>95</v>
      </c>
      <c r="S23" s="23"/>
      <c r="T23" s="23"/>
      <c r="U23" s="23"/>
      <c r="V23" s="23"/>
      <c r="W23" s="23"/>
      <c r="X23" s="23"/>
      <c r="Y23" s="23"/>
      <c r="Z23" s="23"/>
      <c r="AA23" s="23"/>
      <c r="AB23" s="26"/>
      <c r="AC23" s="23"/>
      <c r="AE23" s="23"/>
      <c r="AF23" s="23"/>
      <c r="AG23" s="23"/>
      <c r="AH23" s="23"/>
      <c r="AI23" s="23"/>
      <c r="AJ23" s="23"/>
      <c r="AK23" s="22"/>
      <c r="AL23" s="22"/>
      <c r="AM23" s="22"/>
      <c r="AN23" s="23"/>
      <c r="AO23" s="23"/>
      <c r="AQ23" s="23"/>
      <c r="AR23" s="25" t="str">
        <f>'LOT 21'!B35</f>
        <v>Fossés drainants</v>
      </c>
    </row>
    <row r="24" spans="2:44" x14ac:dyDescent="0.25">
      <c r="S24" s="23"/>
      <c r="T24" s="23"/>
      <c r="U24" s="23"/>
      <c r="V24" s="23"/>
      <c r="W24" s="23"/>
      <c r="X24" s="23"/>
      <c r="Y24" s="23"/>
      <c r="Z24" s="23"/>
      <c r="AA24" s="23"/>
      <c r="AB24" s="26"/>
      <c r="AC24" s="23"/>
      <c r="AE24" s="23"/>
      <c r="AF24" s="23"/>
      <c r="AG24" s="23"/>
      <c r="AH24" s="23"/>
      <c r="AI24" s="23"/>
      <c r="AJ24" s="23"/>
      <c r="AK24" s="22"/>
      <c r="AL24" s="22"/>
      <c r="AM24" s="22"/>
      <c r="AN24" s="23"/>
      <c r="AO24" s="23"/>
      <c r="AQ24" s="23"/>
      <c r="AR24" s="25" t="str">
        <f>'LOT 21'!B36</f>
        <v>Tranchées d’infiltration</v>
      </c>
    </row>
    <row r="25" spans="2:44" x14ac:dyDescent="0.25">
      <c r="S25" s="23"/>
      <c r="T25" s="23"/>
      <c r="U25" s="23"/>
      <c r="V25" s="23"/>
      <c r="W25" s="23"/>
      <c r="X25" s="23"/>
      <c r="Y25" s="23"/>
      <c r="Z25" s="23"/>
      <c r="AA25" s="23"/>
      <c r="AB25" s="26"/>
      <c r="AC25" s="23"/>
      <c r="AE25" s="23"/>
      <c r="AF25" s="23"/>
      <c r="AG25" s="23"/>
      <c r="AH25" s="23"/>
      <c r="AI25" s="23"/>
      <c r="AJ25" s="23"/>
      <c r="AK25" s="22"/>
      <c r="AL25" s="22"/>
      <c r="AM25" s="22"/>
      <c r="AN25" s="23"/>
      <c r="AO25" s="23"/>
      <c r="AQ25" s="23"/>
      <c r="AR25" s="25" t="str">
        <f>'LOT 21'!B37</f>
        <v>Bassins de rétention ou d’infiltration</v>
      </c>
    </row>
    <row r="26" spans="2:44" x14ac:dyDescent="0.25">
      <c r="S26" s="23"/>
      <c r="T26" s="23"/>
      <c r="U26" s="23"/>
      <c r="V26" s="23"/>
      <c r="W26" s="23"/>
      <c r="X26" s="23"/>
      <c r="Y26" s="23"/>
      <c r="Z26" s="23"/>
      <c r="AA26" s="23"/>
      <c r="AB26" s="26"/>
      <c r="AC26" s="23"/>
      <c r="AD26" s="23"/>
      <c r="AE26" s="23"/>
      <c r="AF26" s="23"/>
      <c r="AG26" s="23"/>
      <c r="AH26" s="23"/>
      <c r="AI26" s="23"/>
      <c r="AJ26" s="23"/>
      <c r="AK26" s="22"/>
      <c r="AL26" s="22"/>
      <c r="AM26" s="22"/>
      <c r="AN26" s="23"/>
      <c r="AO26" s="23"/>
      <c r="AQ26" s="23"/>
      <c r="AR26" s="25" t="str">
        <f>'LOT 21'!B38</f>
        <v>Pose de séparateurs hydrocarbures</v>
      </c>
    </row>
    <row r="27" spans="2:44" x14ac:dyDescent="0.25">
      <c r="F27" s="26"/>
      <c r="S27" s="23"/>
      <c r="T27" s="23"/>
      <c r="U27" s="23"/>
      <c r="V27" s="23"/>
      <c r="W27" s="23"/>
      <c r="X27" s="23"/>
      <c r="Y27" s="23"/>
      <c r="Z27" s="23"/>
      <c r="AA27" s="23"/>
      <c r="AB27" s="26"/>
      <c r="AC27" s="23"/>
      <c r="AD27" s="23"/>
      <c r="AE27" s="23"/>
      <c r="AF27" s="23"/>
      <c r="AG27" s="23"/>
      <c r="AH27" s="23"/>
      <c r="AI27" s="23"/>
      <c r="AJ27" s="23"/>
      <c r="AK27" s="22"/>
      <c r="AL27" s="22"/>
      <c r="AM27" s="22"/>
      <c r="AN27" s="23"/>
      <c r="AO27" s="23"/>
      <c r="AQ27" s="23"/>
      <c r="AR27" s="25">
        <f>'LOT 21'!B40</f>
        <v>0</v>
      </c>
    </row>
    <row r="28" spans="2:44" x14ac:dyDescent="0.25">
      <c r="S28" s="23"/>
      <c r="T28" s="23"/>
      <c r="U28" s="23"/>
      <c r="V28" s="23"/>
      <c r="W28" s="23"/>
      <c r="X28" s="23"/>
      <c r="Y28" s="23"/>
      <c r="Z28" s="23"/>
      <c r="AA28" s="23"/>
      <c r="AB28" s="26"/>
      <c r="AC28" s="23"/>
      <c r="AD28" s="23"/>
      <c r="AE28" s="23"/>
      <c r="AF28" s="23"/>
      <c r="AG28" s="23"/>
      <c r="AH28" s="23"/>
      <c r="AI28" s="23"/>
      <c r="AJ28" s="23"/>
      <c r="AK28" s="22"/>
      <c r="AL28" s="22"/>
      <c r="AM28" s="22"/>
      <c r="AN28" s="23"/>
      <c r="AO28" s="23"/>
      <c r="AQ28" s="23"/>
      <c r="AR28" s="25">
        <f>'LOT 21'!B41</f>
        <v>0</v>
      </c>
    </row>
    <row r="29" spans="2:44" x14ac:dyDescent="0.25">
      <c r="S29" s="23"/>
      <c r="T29" s="23"/>
      <c r="U29" s="23"/>
      <c r="V29" s="23"/>
      <c r="W29" s="23"/>
      <c r="X29" s="23"/>
      <c r="Y29" s="23"/>
      <c r="Z29" s="23"/>
      <c r="AA29" s="23"/>
      <c r="AB29" s="26"/>
      <c r="AC29" s="23"/>
      <c r="AD29" s="23"/>
      <c r="AE29" s="23"/>
      <c r="AF29" s="23"/>
      <c r="AG29" s="23"/>
      <c r="AH29" s="23"/>
      <c r="AI29" s="23"/>
      <c r="AJ29" s="23"/>
      <c r="AK29" s="22"/>
      <c r="AL29" s="22"/>
      <c r="AM29" s="22"/>
      <c r="AN29" s="23"/>
      <c r="AO29" s="23"/>
      <c r="AP29" s="26"/>
      <c r="AQ29" s="23"/>
      <c r="AR29" s="25">
        <f>'LOT 21'!B42</f>
        <v>0</v>
      </c>
    </row>
    <row r="30" spans="2:44" x14ac:dyDescent="0.25">
      <c r="H30" s="26"/>
      <c r="S30" s="23"/>
      <c r="T30" s="23"/>
      <c r="U30" s="23"/>
      <c r="V30" s="23"/>
      <c r="W30" s="23"/>
      <c r="X30" s="23"/>
      <c r="Y30" s="23"/>
      <c r="Z30" s="23"/>
      <c r="AA30" s="23"/>
      <c r="AB30" s="26"/>
      <c r="AC30" s="23"/>
      <c r="AD30" s="23"/>
      <c r="AE30" s="23"/>
      <c r="AF30" s="23"/>
      <c r="AG30" s="23"/>
      <c r="AH30" s="23"/>
      <c r="AI30" s="23"/>
      <c r="AJ30" s="23"/>
      <c r="AK30" s="22"/>
      <c r="AL30" s="22"/>
      <c r="AM30" s="22"/>
      <c r="AN30" s="31"/>
      <c r="AO30" s="23"/>
      <c r="AP30" s="26"/>
      <c r="AQ30" s="23"/>
    </row>
    <row r="31" spans="2:44" x14ac:dyDescent="0.25">
      <c r="S31" s="23"/>
      <c r="T31" s="23"/>
      <c r="U31" s="23"/>
      <c r="V31" s="23"/>
      <c r="W31" s="23"/>
      <c r="X31" s="23"/>
      <c r="Y31" s="23"/>
      <c r="Z31" s="23"/>
      <c r="AA31" s="23"/>
      <c r="AB31" s="26"/>
      <c r="AC31" s="23"/>
      <c r="AD31" s="23"/>
      <c r="AE31" s="23"/>
      <c r="AF31" s="23"/>
      <c r="AG31" s="23"/>
      <c r="AH31" s="23"/>
      <c r="AI31" s="23"/>
      <c r="AJ31" s="23"/>
      <c r="AK31" s="22"/>
      <c r="AL31" s="22"/>
      <c r="AM31" s="22"/>
      <c r="AN31" s="23"/>
      <c r="AO31" s="23"/>
      <c r="AP31" s="26"/>
      <c r="AQ31" s="23"/>
    </row>
    <row r="32" spans="2:44" x14ac:dyDescent="0.25">
      <c r="P32" s="31"/>
      <c r="S32" s="23"/>
      <c r="T32" s="23"/>
      <c r="U32" s="23"/>
      <c r="V32" s="23"/>
      <c r="W32" s="23"/>
      <c r="X32" s="23"/>
      <c r="Y32" s="23"/>
      <c r="Z32" s="23"/>
      <c r="AA32" s="23"/>
      <c r="AB32" s="26"/>
      <c r="AC32" s="23"/>
      <c r="AD32" s="23"/>
      <c r="AE32" s="23"/>
      <c r="AF32" s="23"/>
      <c r="AG32" s="23"/>
      <c r="AH32" s="23"/>
      <c r="AI32" s="23"/>
      <c r="AJ32" s="23"/>
      <c r="AK32" s="22"/>
      <c r="AL32" s="22"/>
      <c r="AM32" s="22"/>
      <c r="AN32" s="23"/>
      <c r="AO32" s="23"/>
      <c r="AP32" s="26"/>
      <c r="AQ32" s="23"/>
    </row>
    <row r="33" spans="1:44" x14ac:dyDescent="0.25">
      <c r="A33" s="146" t="s">
        <v>96</v>
      </c>
      <c r="B33" s="146"/>
      <c r="C33" s="146"/>
      <c r="D33" s="146"/>
      <c r="E33" s="146"/>
      <c r="F33" s="146"/>
      <c r="H33" s="26"/>
      <c r="S33" s="23"/>
      <c r="T33" s="23"/>
      <c r="U33" s="23"/>
      <c r="V33" s="23"/>
      <c r="W33" s="23"/>
      <c r="X33" s="23"/>
      <c r="Y33" s="23"/>
      <c r="Z33" s="23"/>
      <c r="AA33" s="23"/>
      <c r="AB33" s="26"/>
      <c r="AC33" s="23"/>
      <c r="AD33" s="23"/>
      <c r="AE33" s="23"/>
      <c r="AF33" s="23"/>
      <c r="AG33" s="23"/>
      <c r="AH33" s="23"/>
      <c r="AI33" s="23"/>
      <c r="AJ33" s="23"/>
      <c r="AK33" s="22"/>
      <c r="AL33" s="22"/>
      <c r="AM33" s="22"/>
      <c r="AN33" s="23"/>
      <c r="AO33" s="23"/>
      <c r="AP33" s="26"/>
      <c r="AQ33" s="23"/>
    </row>
    <row r="34" spans="1:44" s="30" customFormat="1" ht="13.5" x14ac:dyDescent="0.25">
      <c r="A34" s="63" t="s">
        <v>97</v>
      </c>
      <c r="B34" s="63" t="s">
        <v>98</v>
      </c>
      <c r="C34" s="151" t="s">
        <v>99</v>
      </c>
      <c r="D34" s="151"/>
      <c r="E34" s="151" t="s">
        <v>100</v>
      </c>
      <c r="F34" s="151"/>
      <c r="H34" s="21"/>
      <c r="J34" s="21"/>
      <c r="K34" s="21"/>
      <c r="L34" s="21"/>
      <c r="M34" s="31"/>
      <c r="N34" s="31"/>
      <c r="O34" s="31"/>
      <c r="P34" s="23"/>
      <c r="Q34" s="31"/>
      <c r="R34" s="31"/>
      <c r="S34" s="31"/>
      <c r="T34" s="31"/>
      <c r="U34" s="31"/>
      <c r="V34" s="31"/>
      <c r="W34" s="31"/>
      <c r="X34" s="31"/>
      <c r="Y34" s="31"/>
      <c r="Z34" s="23"/>
      <c r="AA34" s="31"/>
      <c r="AB34" s="21"/>
      <c r="AC34" s="31"/>
      <c r="AD34" s="31"/>
      <c r="AE34" s="31"/>
      <c r="AF34" s="23"/>
      <c r="AG34" s="31"/>
      <c r="AH34" s="31"/>
      <c r="AI34" s="31"/>
      <c r="AJ34" s="31"/>
      <c r="AN34" s="23"/>
      <c r="AO34" s="31"/>
      <c r="AP34" s="21"/>
      <c r="AQ34" s="31"/>
    </row>
    <row r="35" spans="1:44" x14ac:dyDescent="0.25">
      <c r="A35" s="64" t="s">
        <v>101</v>
      </c>
      <c r="B35" s="64"/>
      <c r="C35" s="148" t="s">
        <v>102</v>
      </c>
      <c r="D35" s="148"/>
      <c r="E35" s="149" t="s">
        <v>103</v>
      </c>
      <c r="F35" s="148"/>
      <c r="S35" s="23"/>
      <c r="T35" s="23"/>
      <c r="U35" s="23"/>
      <c r="V35" s="23"/>
      <c r="W35" s="23"/>
      <c r="X35" s="23"/>
      <c r="Y35" s="23"/>
      <c r="Z35" s="31"/>
      <c r="AA35" s="23"/>
      <c r="AB35" s="26"/>
      <c r="AC35" s="23"/>
      <c r="AD35" s="23"/>
      <c r="AE35" s="23"/>
      <c r="AF35" s="31"/>
      <c r="AG35" s="23"/>
      <c r="AH35" s="23"/>
      <c r="AI35" s="23"/>
      <c r="AJ35" s="23"/>
      <c r="AK35" s="22"/>
      <c r="AL35" s="22"/>
      <c r="AM35" s="22"/>
      <c r="AN35" s="23"/>
      <c r="AO35" s="23"/>
      <c r="AP35" s="26"/>
      <c r="AQ35" s="23"/>
    </row>
    <row r="36" spans="1:44" x14ac:dyDescent="0.25">
      <c r="A36" s="59" t="s">
        <v>104</v>
      </c>
      <c r="B36" s="59"/>
      <c r="C36" s="147" t="s">
        <v>105</v>
      </c>
      <c r="D36" s="147"/>
      <c r="E36" s="150" t="s">
        <v>106</v>
      </c>
      <c r="F36" s="147"/>
      <c r="S36" s="23"/>
      <c r="T36" s="23"/>
      <c r="U36" s="23"/>
      <c r="V36" s="23"/>
      <c r="W36" s="23"/>
      <c r="X36" s="23"/>
      <c r="Y36" s="23"/>
      <c r="Z36" s="23"/>
      <c r="AA36" s="23"/>
      <c r="AB36" s="26"/>
      <c r="AC36" s="23"/>
      <c r="AD36" s="23"/>
      <c r="AE36" s="23"/>
      <c r="AF36" s="23"/>
      <c r="AG36" s="23"/>
      <c r="AH36" s="23"/>
      <c r="AI36" s="23"/>
      <c r="AJ36" s="23"/>
      <c r="AK36" s="22"/>
      <c r="AL36" s="22"/>
      <c r="AM36" s="22"/>
      <c r="AN36" s="23"/>
      <c r="AO36" s="23"/>
      <c r="AP36" s="26"/>
      <c r="AQ36" s="23"/>
      <c r="AR36" s="26"/>
    </row>
    <row r="37" spans="1:44" x14ac:dyDescent="0.25">
      <c r="A37" s="64" t="s">
        <v>107</v>
      </c>
      <c r="B37" s="64"/>
      <c r="C37" s="148" t="s">
        <v>108</v>
      </c>
      <c r="D37" s="148"/>
      <c r="E37" s="149" t="s">
        <v>109</v>
      </c>
      <c r="F37" s="148"/>
      <c r="S37" s="23"/>
      <c r="T37" s="23"/>
      <c r="U37" s="23"/>
      <c r="V37" s="23"/>
      <c r="W37" s="23"/>
      <c r="X37" s="23"/>
      <c r="Y37" s="23"/>
      <c r="Z37" s="23"/>
      <c r="AA37" s="23"/>
      <c r="AB37" s="26"/>
      <c r="AC37" s="23"/>
      <c r="AD37" s="23"/>
      <c r="AE37" s="23"/>
      <c r="AF37" s="23"/>
      <c r="AG37" s="23"/>
      <c r="AH37" s="23"/>
      <c r="AI37" s="23"/>
      <c r="AJ37" s="23"/>
      <c r="AK37" s="22"/>
      <c r="AL37" s="22"/>
      <c r="AM37" s="22"/>
      <c r="AN37" s="23"/>
      <c r="AO37" s="23"/>
      <c r="AP37" s="26"/>
      <c r="AQ37" s="23"/>
      <c r="AR37" s="26"/>
    </row>
    <row r="38" spans="1:44" x14ac:dyDescent="0.25">
      <c r="A38" s="59" t="s">
        <v>110</v>
      </c>
      <c r="B38" s="59"/>
      <c r="C38" s="147" t="s">
        <v>111</v>
      </c>
      <c r="D38" s="147"/>
      <c r="E38" s="150" t="s">
        <v>112</v>
      </c>
      <c r="F38" s="147"/>
      <c r="S38" s="23"/>
      <c r="T38" s="23"/>
      <c r="U38" s="23"/>
      <c r="V38" s="23"/>
      <c r="W38" s="23"/>
      <c r="X38" s="23"/>
      <c r="Y38" s="23"/>
      <c r="Z38" s="23"/>
      <c r="AA38" s="23"/>
      <c r="AB38" s="26"/>
      <c r="AC38" s="23"/>
      <c r="AD38" s="23"/>
      <c r="AE38" s="23"/>
      <c r="AF38" s="23"/>
      <c r="AG38" s="23"/>
      <c r="AH38" s="23"/>
      <c r="AI38" s="23"/>
      <c r="AJ38" s="23"/>
      <c r="AK38" s="22"/>
      <c r="AL38" s="22"/>
      <c r="AM38" s="22"/>
      <c r="AN38" s="23"/>
      <c r="AO38" s="23"/>
      <c r="AP38" s="26"/>
      <c r="AQ38" s="23"/>
      <c r="AR38" s="26"/>
    </row>
    <row r="39" spans="1:44" x14ac:dyDescent="0.25">
      <c r="A39" s="64" t="s">
        <v>113</v>
      </c>
      <c r="B39" s="64"/>
      <c r="C39" s="148" t="s">
        <v>114</v>
      </c>
      <c r="D39" s="148"/>
      <c r="E39" s="149" t="s">
        <v>115</v>
      </c>
      <c r="F39" s="148"/>
      <c r="S39" s="23"/>
      <c r="T39" s="23"/>
      <c r="U39" s="23"/>
      <c r="V39" s="23"/>
      <c r="W39" s="23"/>
      <c r="X39" s="23"/>
      <c r="Y39" s="23"/>
      <c r="Z39" s="23"/>
      <c r="AA39" s="23"/>
      <c r="AB39" s="26"/>
      <c r="AC39" s="23"/>
      <c r="AD39" s="23"/>
      <c r="AE39" s="23"/>
      <c r="AF39" s="23"/>
      <c r="AG39" s="23"/>
      <c r="AH39" s="23"/>
      <c r="AI39" s="23"/>
      <c r="AJ39" s="23"/>
      <c r="AK39" s="22"/>
      <c r="AL39" s="22"/>
      <c r="AM39" s="22"/>
      <c r="AO39" s="23"/>
      <c r="AP39" s="26"/>
      <c r="AQ39" s="23"/>
      <c r="AR39" s="26"/>
    </row>
    <row r="40" spans="1:44" x14ac:dyDescent="0.25">
      <c r="A40" s="59" t="s">
        <v>116</v>
      </c>
      <c r="B40" s="59"/>
      <c r="C40" s="147" t="s">
        <v>117</v>
      </c>
      <c r="D40" s="147"/>
      <c r="E40" s="150" t="s">
        <v>118</v>
      </c>
      <c r="F40" s="147"/>
      <c r="S40" s="23"/>
      <c r="T40" s="23"/>
      <c r="U40" s="23"/>
      <c r="V40" s="23"/>
      <c r="W40" s="23"/>
      <c r="X40" s="23"/>
      <c r="Y40" s="23"/>
      <c r="Z40" s="23"/>
      <c r="AA40" s="23"/>
      <c r="AB40" s="26"/>
      <c r="AC40" s="23"/>
      <c r="AD40" s="23"/>
      <c r="AE40" s="23"/>
      <c r="AF40" s="23"/>
      <c r="AG40" s="23"/>
      <c r="AH40" s="23"/>
      <c r="AI40" s="23"/>
      <c r="AJ40" s="23"/>
      <c r="AK40" s="22"/>
      <c r="AL40" s="22"/>
      <c r="AM40" s="22"/>
      <c r="AO40" s="23"/>
      <c r="AP40" s="26"/>
      <c r="AQ40" s="23"/>
      <c r="AR40" s="26"/>
    </row>
    <row r="41" spans="1:44" x14ac:dyDescent="0.25">
      <c r="A41" s="64" t="s">
        <v>119</v>
      </c>
      <c r="B41" s="64"/>
      <c r="C41" s="148" t="s">
        <v>120</v>
      </c>
      <c r="D41" s="148"/>
      <c r="E41" s="149" t="s">
        <v>121</v>
      </c>
      <c r="F41" s="148"/>
      <c r="S41" s="23"/>
      <c r="T41" s="23"/>
      <c r="U41" s="23"/>
      <c r="V41" s="23"/>
      <c r="W41" s="23"/>
      <c r="X41" s="23"/>
      <c r="Y41" s="23"/>
      <c r="Z41" s="23"/>
      <c r="AA41" s="23"/>
      <c r="AB41" s="26"/>
      <c r="AC41" s="23"/>
      <c r="AD41" s="23"/>
      <c r="AE41" s="23"/>
      <c r="AF41" s="23"/>
      <c r="AG41" s="23"/>
      <c r="AH41" s="23"/>
      <c r="AI41" s="23"/>
      <c r="AJ41" s="23"/>
      <c r="AK41" s="22"/>
      <c r="AL41" s="22"/>
      <c r="AM41" s="22"/>
      <c r="AO41" s="23"/>
      <c r="AP41" s="26"/>
      <c r="AQ41" s="23"/>
      <c r="AR41" s="23"/>
    </row>
    <row r="42" spans="1:44" x14ac:dyDescent="0.25">
      <c r="A42" s="59" t="s">
        <v>122</v>
      </c>
      <c r="B42" s="59"/>
      <c r="C42" s="147" t="s">
        <v>123</v>
      </c>
      <c r="D42" s="147"/>
      <c r="E42" s="150" t="s">
        <v>124</v>
      </c>
      <c r="F42" s="147"/>
      <c r="S42" s="23"/>
      <c r="T42" s="23"/>
      <c r="U42" s="23"/>
      <c r="V42" s="23"/>
      <c r="W42" s="23"/>
      <c r="X42" s="23"/>
      <c r="Y42" s="23"/>
      <c r="Z42" s="23"/>
      <c r="AA42" s="23"/>
      <c r="AB42" s="26"/>
      <c r="AC42" s="23"/>
      <c r="AD42" s="23"/>
      <c r="AE42" s="23"/>
      <c r="AF42" s="23"/>
      <c r="AG42" s="23"/>
      <c r="AH42" s="23"/>
      <c r="AI42" s="23"/>
      <c r="AJ42" s="23"/>
      <c r="AK42" s="22"/>
      <c r="AL42" s="22"/>
      <c r="AM42" s="22"/>
      <c r="AO42" s="23"/>
      <c r="AP42" s="26"/>
      <c r="AQ42" s="23"/>
      <c r="AR42" s="23"/>
    </row>
    <row r="43" spans="1:44" x14ac:dyDescent="0.25">
      <c r="A43" s="64" t="s">
        <v>125</v>
      </c>
      <c r="B43" s="64"/>
      <c r="C43" s="148" t="s">
        <v>126</v>
      </c>
      <c r="D43" s="148"/>
      <c r="E43" s="149" t="s">
        <v>127</v>
      </c>
      <c r="F43" s="148"/>
      <c r="Z43" s="23"/>
      <c r="AF43" s="23"/>
    </row>
    <row r="44" spans="1:44" x14ac:dyDescent="0.25">
      <c r="A44" s="59" t="s">
        <v>128</v>
      </c>
      <c r="B44" s="59"/>
      <c r="C44" s="147" t="s">
        <v>129</v>
      </c>
      <c r="D44" s="147"/>
      <c r="E44" s="150" t="s">
        <v>130</v>
      </c>
      <c r="F44" s="147"/>
    </row>
    <row r="45" spans="1:44" x14ac:dyDescent="0.25">
      <c r="A45" s="64" t="s">
        <v>10</v>
      </c>
      <c r="B45" s="64"/>
      <c r="C45" s="148" t="s">
        <v>131</v>
      </c>
      <c r="D45" s="148"/>
      <c r="E45" s="149" t="s">
        <v>132</v>
      </c>
      <c r="F45" s="148"/>
    </row>
    <row r="46" spans="1:44" x14ac:dyDescent="0.25">
      <c r="A46" s="59" t="s">
        <v>133</v>
      </c>
      <c r="B46" s="59"/>
      <c r="C46" s="147" t="s">
        <v>134</v>
      </c>
      <c r="D46" s="147"/>
      <c r="E46" s="150" t="s">
        <v>135</v>
      </c>
      <c r="F46" s="147"/>
    </row>
    <row r="47" spans="1:44" x14ac:dyDescent="0.25">
      <c r="A47" s="64" t="s">
        <v>136</v>
      </c>
      <c r="B47" s="64"/>
      <c r="C47" s="148" t="s">
        <v>137</v>
      </c>
      <c r="D47" s="148"/>
      <c r="E47" s="149" t="s">
        <v>138</v>
      </c>
      <c r="F47" s="148"/>
    </row>
    <row r="48" spans="1:44" x14ac:dyDescent="0.25">
      <c r="A48" s="59" t="s">
        <v>139</v>
      </c>
      <c r="B48" s="59"/>
      <c r="C48" s="147" t="s">
        <v>140</v>
      </c>
      <c r="D48" s="147"/>
      <c r="E48" s="150" t="s">
        <v>141</v>
      </c>
      <c r="F48" s="147"/>
    </row>
    <row r="49" spans="1:6" x14ac:dyDescent="0.25">
      <c r="A49" s="64" t="s">
        <v>142</v>
      </c>
      <c r="B49" s="64"/>
      <c r="C49" s="148" t="s">
        <v>143</v>
      </c>
      <c r="D49" s="148"/>
      <c r="E49" s="149" t="s">
        <v>144</v>
      </c>
      <c r="F49" s="148"/>
    </row>
    <row r="50" spans="1:6" x14ac:dyDescent="0.25">
      <c r="A50" s="59" t="s">
        <v>145</v>
      </c>
      <c r="B50" s="59"/>
      <c r="C50" s="147" t="s">
        <v>146</v>
      </c>
      <c r="D50" s="147"/>
      <c r="E50" s="150" t="s">
        <v>147</v>
      </c>
      <c r="F50" s="147"/>
    </row>
    <row r="51" spans="1:6" x14ac:dyDescent="0.25">
      <c r="A51" s="64" t="s">
        <v>148</v>
      </c>
      <c r="B51" s="64"/>
      <c r="C51" s="148" t="s">
        <v>149</v>
      </c>
      <c r="D51" s="148"/>
      <c r="E51" s="149" t="s">
        <v>150</v>
      </c>
      <c r="F51" s="148"/>
    </row>
    <row r="52" spans="1:6" x14ac:dyDescent="0.25">
      <c r="A52" s="59" t="s">
        <v>151</v>
      </c>
      <c r="B52" s="59"/>
      <c r="C52" s="147" t="s">
        <v>152</v>
      </c>
      <c r="D52" s="147"/>
      <c r="E52" s="150" t="s">
        <v>153</v>
      </c>
      <c r="F52" s="147"/>
    </row>
    <row r="53" spans="1:6" x14ac:dyDescent="0.25">
      <c r="A53" s="64" t="s">
        <v>154</v>
      </c>
      <c r="B53" s="64"/>
      <c r="C53" s="148" t="s">
        <v>155</v>
      </c>
      <c r="D53" s="148"/>
      <c r="E53" s="149" t="s">
        <v>156</v>
      </c>
      <c r="F53" s="148"/>
    </row>
    <row r="54" spans="1:6" x14ac:dyDescent="0.25">
      <c r="A54" s="59" t="s">
        <v>157</v>
      </c>
      <c r="B54" s="59"/>
      <c r="C54" s="147" t="s">
        <v>158</v>
      </c>
      <c r="D54" s="147"/>
      <c r="E54" s="150" t="s">
        <v>159</v>
      </c>
      <c r="F54" s="147"/>
    </row>
    <row r="55" spans="1:6" x14ac:dyDescent="0.25">
      <c r="A55" s="64" t="s">
        <v>160</v>
      </c>
      <c r="B55" s="64"/>
      <c r="C55" s="148" t="s">
        <v>161</v>
      </c>
      <c r="D55" s="148"/>
      <c r="E55" s="149" t="s">
        <v>162</v>
      </c>
      <c r="F55" s="148"/>
    </row>
    <row r="56" spans="1:6" x14ac:dyDescent="0.25">
      <c r="A56" s="59" t="s">
        <v>163</v>
      </c>
      <c r="B56" s="59"/>
      <c r="C56" s="147" t="s">
        <v>164</v>
      </c>
      <c r="D56" s="147"/>
      <c r="E56" s="150" t="s">
        <v>165</v>
      </c>
      <c r="F56" s="150"/>
    </row>
    <row r="57" spans="1:6" x14ac:dyDescent="0.25">
      <c r="A57" s="64" t="s">
        <v>166</v>
      </c>
      <c r="B57" s="64"/>
      <c r="C57" s="148" t="s">
        <v>167</v>
      </c>
      <c r="D57" s="148"/>
      <c r="E57" s="149" t="s">
        <v>168</v>
      </c>
      <c r="F57" s="148"/>
    </row>
    <row r="58" spans="1:6" x14ac:dyDescent="0.25">
      <c r="A58" s="59" t="s">
        <v>169</v>
      </c>
      <c r="B58" s="59"/>
      <c r="C58" s="147" t="s">
        <v>170</v>
      </c>
      <c r="D58" s="147"/>
      <c r="E58" s="150" t="s">
        <v>171</v>
      </c>
      <c r="F58" s="147"/>
    </row>
    <row r="59" spans="1:6" x14ac:dyDescent="0.25">
      <c r="A59" s="64" t="s">
        <v>172</v>
      </c>
      <c r="B59" s="64"/>
      <c r="C59" s="148" t="s">
        <v>173</v>
      </c>
      <c r="D59" s="148"/>
      <c r="E59" s="149" t="s">
        <v>174</v>
      </c>
      <c r="F59" s="148"/>
    </row>
    <row r="60" spans="1:6" x14ac:dyDescent="0.25">
      <c r="A60" s="59" t="s">
        <v>175</v>
      </c>
      <c r="B60" s="59"/>
      <c r="C60" s="147" t="s">
        <v>176</v>
      </c>
      <c r="D60" s="147"/>
      <c r="E60" s="154" t="s">
        <v>177</v>
      </c>
      <c r="F60" s="154"/>
    </row>
    <row r="61" spans="1:6" x14ac:dyDescent="0.25">
      <c r="A61" s="65" t="s">
        <v>178</v>
      </c>
      <c r="B61" s="65"/>
      <c r="C61" s="152" t="s">
        <v>179</v>
      </c>
      <c r="D61" s="152"/>
      <c r="E61" s="153" t="s">
        <v>180</v>
      </c>
      <c r="F61" s="152"/>
    </row>
    <row r="62" spans="1:6" x14ac:dyDescent="0.25">
      <c r="A62" s="59"/>
      <c r="B62" s="59"/>
      <c r="C62" s="62"/>
      <c r="D62" s="62"/>
      <c r="E62" s="61"/>
      <c r="F62" s="62"/>
    </row>
    <row r="63" spans="1:6" x14ac:dyDescent="0.25">
      <c r="A63" s="66"/>
      <c r="B63" s="66"/>
      <c r="C63" s="66"/>
      <c r="D63" s="67"/>
      <c r="E63" s="68"/>
      <c r="F63" s="67"/>
    </row>
    <row r="65" spans="1:6" x14ac:dyDescent="0.25">
      <c r="A65" s="66"/>
      <c r="B65" s="66"/>
      <c r="C65" s="66"/>
      <c r="D65" s="67"/>
      <c r="E65" s="68"/>
      <c r="F65" s="67"/>
    </row>
    <row r="67" spans="1:6" x14ac:dyDescent="0.25">
      <c r="A67" s="66"/>
      <c r="B67" s="66"/>
      <c r="C67" s="66"/>
      <c r="D67" s="67"/>
      <c r="E67" s="68"/>
      <c r="F67" s="67"/>
    </row>
    <row r="69" spans="1:6" x14ac:dyDescent="0.25">
      <c r="A69" s="66"/>
      <c r="B69" s="66"/>
      <c r="C69" s="66"/>
      <c r="D69" s="67"/>
      <c r="E69" s="68"/>
      <c r="F69" s="67"/>
    </row>
    <row r="71" spans="1:6" x14ac:dyDescent="0.25">
      <c r="A71" s="66"/>
      <c r="B71" s="66"/>
      <c r="C71" s="66"/>
      <c r="D71" s="67"/>
      <c r="E71" s="68"/>
      <c r="F71" s="67"/>
    </row>
    <row r="73" spans="1:6" x14ac:dyDescent="0.25">
      <c r="A73" s="66"/>
      <c r="B73" s="66"/>
      <c r="C73" s="66"/>
      <c r="D73" s="67"/>
      <c r="E73" s="68"/>
      <c r="F73" s="67"/>
    </row>
    <row r="75" spans="1:6" x14ac:dyDescent="0.25">
      <c r="A75" s="66"/>
      <c r="B75" s="66"/>
      <c r="C75" s="66"/>
      <c r="D75" s="67"/>
      <c r="E75" s="68"/>
      <c r="F75" s="67"/>
    </row>
    <row r="77" spans="1:6" x14ac:dyDescent="0.25">
      <c r="A77" s="66"/>
      <c r="B77" s="66"/>
      <c r="C77" s="66"/>
      <c r="D77" s="67"/>
      <c r="E77" s="68"/>
      <c r="F77" s="67"/>
    </row>
    <row r="79" spans="1:6" x14ac:dyDescent="0.25">
      <c r="A79" s="66"/>
      <c r="B79" s="66"/>
      <c r="C79" s="66"/>
      <c r="D79" s="67"/>
      <c r="E79" s="68"/>
      <c r="F79" s="67"/>
    </row>
    <row r="81" spans="1:6" x14ac:dyDescent="0.25">
      <c r="A81" s="66"/>
      <c r="B81" s="66"/>
      <c r="C81" s="66"/>
      <c r="D81" s="67"/>
      <c r="E81" s="68"/>
      <c r="F81" s="67"/>
    </row>
    <row r="83" spans="1:6" x14ac:dyDescent="0.25">
      <c r="A83" s="66"/>
      <c r="B83" s="66"/>
      <c r="C83" s="66"/>
      <c r="D83" s="67"/>
      <c r="E83" s="68"/>
      <c r="F83" s="67"/>
    </row>
    <row r="85" spans="1:6" x14ac:dyDescent="0.25">
      <c r="A85" s="66"/>
      <c r="B85" s="66"/>
      <c r="C85" s="66"/>
      <c r="D85" s="67"/>
      <c r="E85" s="68"/>
      <c r="F85" s="67"/>
    </row>
    <row r="87" spans="1:6" x14ac:dyDescent="0.25">
      <c r="A87" s="66"/>
      <c r="B87" s="66"/>
      <c r="C87" s="66"/>
      <c r="D87" s="67"/>
      <c r="E87" s="68"/>
      <c r="F87" s="67"/>
    </row>
    <row r="89" spans="1:6" x14ac:dyDescent="0.25">
      <c r="A89" s="66"/>
      <c r="B89" s="66"/>
      <c r="C89" s="66"/>
      <c r="D89" s="67"/>
      <c r="E89" s="68"/>
      <c r="F89" s="67"/>
    </row>
    <row r="91" spans="1:6" x14ac:dyDescent="0.25">
      <c r="A91" s="66"/>
      <c r="B91" s="66"/>
      <c r="C91" s="66"/>
      <c r="D91" s="67"/>
      <c r="E91" s="68"/>
      <c r="F91" s="67"/>
    </row>
    <row r="93" spans="1:6" x14ac:dyDescent="0.25">
      <c r="A93" s="66"/>
      <c r="B93" s="66"/>
      <c r="C93" s="66"/>
      <c r="D93" s="67"/>
      <c r="E93" s="68"/>
      <c r="F93" s="67"/>
    </row>
    <row r="95" spans="1:6" x14ac:dyDescent="0.25">
      <c r="A95" s="66"/>
      <c r="B95" s="66"/>
      <c r="C95" s="66"/>
      <c r="D95" s="67"/>
      <c r="E95" s="68"/>
      <c r="F95" s="67"/>
    </row>
    <row r="97" spans="1:6" x14ac:dyDescent="0.25">
      <c r="A97" s="66"/>
      <c r="B97" s="66"/>
      <c r="C97" s="66"/>
      <c r="D97" s="67"/>
      <c r="E97" s="68"/>
      <c r="F97" s="67"/>
    </row>
    <row r="99" spans="1:6" x14ac:dyDescent="0.25">
      <c r="A99" s="66"/>
      <c r="B99" s="66"/>
      <c r="C99" s="66"/>
      <c r="D99" s="67"/>
      <c r="E99" s="68"/>
      <c r="F99" s="67"/>
    </row>
    <row r="101" spans="1:6" x14ac:dyDescent="0.25">
      <c r="A101" s="66"/>
      <c r="B101" s="66"/>
      <c r="C101" s="66"/>
      <c r="D101" s="67"/>
      <c r="E101" s="68"/>
      <c r="F101" s="67"/>
    </row>
    <row r="103" spans="1:6" x14ac:dyDescent="0.25">
      <c r="A103" s="66"/>
      <c r="B103" s="66"/>
      <c r="C103" s="66"/>
      <c r="D103" s="67"/>
      <c r="E103" s="68"/>
      <c r="F103" s="67"/>
    </row>
    <row r="105" spans="1:6" x14ac:dyDescent="0.25">
      <c r="A105" s="66"/>
      <c r="B105" s="66"/>
      <c r="C105" s="66"/>
      <c r="D105" s="67"/>
      <c r="E105" s="68"/>
      <c r="F105" s="67"/>
    </row>
    <row r="107" spans="1:6" x14ac:dyDescent="0.25">
      <c r="A107" s="66"/>
      <c r="B107" s="66"/>
      <c r="C107" s="66"/>
      <c r="D107" s="67"/>
      <c r="E107" s="68"/>
      <c r="F107" s="67"/>
    </row>
    <row r="109" spans="1:6" x14ac:dyDescent="0.25">
      <c r="A109" s="66"/>
      <c r="B109" s="66"/>
      <c r="C109" s="66"/>
      <c r="D109" s="67"/>
      <c r="E109" s="68"/>
      <c r="F109" s="67"/>
    </row>
  </sheetData>
  <mergeCells count="57">
    <mergeCell ref="E49:F49"/>
    <mergeCell ref="C50:D50"/>
    <mergeCell ref="E50:F50"/>
    <mergeCell ref="E38:F38"/>
    <mergeCell ref="C46:D46"/>
    <mergeCell ref="C47:D47"/>
    <mergeCell ref="E41:F41"/>
    <mergeCell ref="E42:F42"/>
    <mergeCell ref="C43:D43"/>
    <mergeCell ref="C48:D48"/>
    <mergeCell ref="E48:F48"/>
    <mergeCell ref="C44:D44"/>
    <mergeCell ref="C45:D45"/>
    <mergeCell ref="C41:D41"/>
    <mergeCell ref="C42:D42"/>
    <mergeCell ref="C49:D49"/>
    <mergeCell ref="E47:F47"/>
    <mergeCell ref="E46:F46"/>
    <mergeCell ref="E45:F45"/>
    <mergeCell ref="E44:F44"/>
    <mergeCell ref="E43:F43"/>
    <mergeCell ref="C57:D57"/>
    <mergeCell ref="E57:F57"/>
    <mergeCell ref="C58:D58"/>
    <mergeCell ref="E58:F58"/>
    <mergeCell ref="C54:D54"/>
    <mergeCell ref="E54:F54"/>
    <mergeCell ref="C55:D55"/>
    <mergeCell ref="E55:F55"/>
    <mergeCell ref="C56:D56"/>
    <mergeCell ref="E56:F56"/>
    <mergeCell ref="C59:D59"/>
    <mergeCell ref="E59:F59"/>
    <mergeCell ref="C61:D61"/>
    <mergeCell ref="E61:F61"/>
    <mergeCell ref="C60:D60"/>
    <mergeCell ref="E60:F60"/>
    <mergeCell ref="C51:D51"/>
    <mergeCell ref="E51:F51"/>
    <mergeCell ref="C52:D52"/>
    <mergeCell ref="E52:F52"/>
    <mergeCell ref="C53:D53"/>
    <mergeCell ref="E53:F53"/>
    <mergeCell ref="A33:F33"/>
    <mergeCell ref="C38:D38"/>
    <mergeCell ref="C37:D37"/>
    <mergeCell ref="C39:D39"/>
    <mergeCell ref="C40:D40"/>
    <mergeCell ref="E39:F39"/>
    <mergeCell ref="E40:F40"/>
    <mergeCell ref="E34:F34"/>
    <mergeCell ref="C34:D34"/>
    <mergeCell ref="C35:D35"/>
    <mergeCell ref="E37:F37"/>
    <mergeCell ref="E36:F36"/>
    <mergeCell ref="E35:F35"/>
    <mergeCell ref="C36:D36"/>
  </mergeCells>
  <phoneticPr fontId="4" type="noConversion"/>
  <hyperlinks>
    <hyperlink ref="E60" r:id="rId1" xr:uid="{246442FF-64BB-40D0-9931-EF6C5B907C3A}"/>
    <hyperlink ref="E61" r:id="rId2" xr:uid="{DF5CA19A-215A-4818-A33C-1B963A4FCB58}"/>
    <hyperlink ref="E59" r:id="rId3" xr:uid="{0EB29D88-377B-4382-AA60-0C4B544088E7}"/>
    <hyperlink ref="E58" r:id="rId4" xr:uid="{E16B0CBA-0DAA-4F4B-A0C3-7B330804215A}"/>
    <hyperlink ref="E57" r:id="rId5" xr:uid="{C3E986D1-A813-454C-993F-7906A9B55A56}"/>
    <hyperlink ref="E56" r:id="rId6" xr:uid="{10419B32-2956-4A0F-B184-9BBFA4AFE5CF}"/>
    <hyperlink ref="E55" r:id="rId7" xr:uid="{C46A2A4B-DDE1-4D0C-A01B-93D65F25406F}"/>
    <hyperlink ref="E54" r:id="rId8" xr:uid="{31F62387-E23A-4D15-B25E-BABB97A8AA35}"/>
    <hyperlink ref="E52" r:id="rId9" xr:uid="{809FDD1F-0E97-44D1-99B5-4D07B1FCCEE0}"/>
    <hyperlink ref="E51" r:id="rId10" xr:uid="{BCF90EFD-E25C-4B15-8F10-07082383A7B2}"/>
    <hyperlink ref="E50" r:id="rId11" xr:uid="{CF34A1B8-DC7C-45F7-92CE-6D7FFA615349}"/>
    <hyperlink ref="E49" r:id="rId12" xr:uid="{A1EFAB2B-C33F-4CD1-8F08-778AB005D107}"/>
    <hyperlink ref="E48" r:id="rId13" xr:uid="{EBCF5373-96E7-49B7-817F-C8509A406C6B}"/>
    <hyperlink ref="E47" r:id="rId14" xr:uid="{AE8164F0-168E-418C-8CAE-50E77F69324C}"/>
    <hyperlink ref="E46" r:id="rId15" xr:uid="{1B3EEB07-4719-4E6A-98CF-FDBFD063DC70}"/>
    <hyperlink ref="E41" r:id="rId16" xr:uid="{BA62B7ED-1273-470D-9B2A-4527A3337A04}"/>
    <hyperlink ref="E38" r:id="rId17" xr:uid="{3DAB6D99-8ABD-4669-9973-EAA26AF9A1CF}"/>
    <hyperlink ref="E45" r:id="rId18" xr:uid="{5D9B083D-F27F-49C9-95FC-84D4D66076A8}"/>
    <hyperlink ref="E39" r:id="rId19" xr:uid="{A9618CCE-BEBE-4643-9317-DF58D8E03ACD}"/>
    <hyperlink ref="E42" r:id="rId20" xr:uid="{86494D2D-06D9-447C-9FDC-9EB427E2A47D}"/>
    <hyperlink ref="E36" r:id="rId21" xr:uid="{8880D2B7-6341-4ECE-A565-C65C15786C88}"/>
    <hyperlink ref="E43" r:id="rId22" xr:uid="{025A54D1-7DF1-4E9E-8D51-22B63CB81616}"/>
    <hyperlink ref="E44" r:id="rId23" xr:uid="{B35A846D-72DE-484E-B385-14B52F2503E3}"/>
    <hyperlink ref="E37" r:id="rId24" xr:uid="{ECD537E1-8F95-4CF6-A106-248425D07459}"/>
    <hyperlink ref="E40" r:id="rId25" xr:uid="{6001945C-1AD7-478F-B183-F1827F008EAD}"/>
    <hyperlink ref="E35" r:id="rId26" xr:uid="{67C23D26-2E91-4E5F-8AEE-786AE5F32AF0}"/>
    <hyperlink ref="E53" r:id="rId27" xr:uid="{9FC57BF7-5367-4F71-8654-8AC84AF947D6}"/>
  </hyperlinks>
  <pageMargins left="0.7" right="0.7" top="0.75" bottom="0.75" header="0.3" footer="0.3"/>
  <pageSetup paperSize="9" orientation="portrait" r:id="rId2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80F9-9384-43F8-9BB4-FD1166EA4FAF}">
  <sheetPr>
    <tabColor theme="0" tint="-0.249977111117893"/>
  </sheetPr>
  <dimension ref="A1:B23"/>
  <sheetViews>
    <sheetView workbookViewId="0">
      <selection activeCell="A8" sqref="A8:B8"/>
    </sheetView>
  </sheetViews>
  <sheetFormatPr baseColWidth="10" defaultColWidth="11.42578125" defaultRowHeight="24.95" customHeight="1" x14ac:dyDescent="0.25"/>
  <cols>
    <col min="1" max="1" width="11.42578125" style="2"/>
    <col min="2" max="2" width="47.140625" style="1" customWidth="1"/>
    <col min="3" max="16384" width="11.42578125" style="1"/>
  </cols>
  <sheetData>
    <row r="1" spans="1:2" ht="24.95" customHeight="1" x14ac:dyDescent="0.25">
      <c r="A1" s="5" t="s">
        <v>181</v>
      </c>
      <c r="B1" s="5" t="s">
        <v>98</v>
      </c>
    </row>
    <row r="2" spans="1:2" ht="24.95" customHeight="1" x14ac:dyDescent="0.25">
      <c r="A2" s="13">
        <v>1</v>
      </c>
      <c r="B2" s="4" t="s">
        <v>71</v>
      </c>
    </row>
    <row r="3" spans="1:2" ht="24.95" customHeight="1" x14ac:dyDescent="0.25">
      <c r="A3" s="13">
        <f>A2+1</f>
        <v>2</v>
      </c>
      <c r="B3" s="4" t="s">
        <v>72</v>
      </c>
    </row>
    <row r="4" spans="1:2" ht="24.95" customHeight="1" x14ac:dyDescent="0.25">
      <c r="A4" s="13">
        <f t="shared" ref="A4:A22" si="0">A3+1</f>
        <v>3</v>
      </c>
      <c r="B4" s="4" t="s">
        <v>182</v>
      </c>
    </row>
    <row r="5" spans="1:2" ht="24.95" customHeight="1" x14ac:dyDescent="0.25">
      <c r="A5" s="13">
        <f t="shared" si="0"/>
        <v>4</v>
      </c>
      <c r="B5" s="4" t="s">
        <v>74</v>
      </c>
    </row>
    <row r="6" spans="1:2" ht="24.95" customHeight="1" x14ac:dyDescent="0.25">
      <c r="A6" s="13">
        <f t="shared" si="0"/>
        <v>5</v>
      </c>
      <c r="B6" s="4" t="s">
        <v>75</v>
      </c>
    </row>
    <row r="7" spans="1:2" ht="24.95" customHeight="1" x14ac:dyDescent="0.25">
      <c r="A7" s="13">
        <f t="shared" si="0"/>
        <v>6</v>
      </c>
      <c r="B7" s="4" t="s">
        <v>76</v>
      </c>
    </row>
    <row r="8" spans="1:2" ht="24.95" customHeight="1" x14ac:dyDescent="0.25">
      <c r="A8" s="13">
        <f t="shared" si="0"/>
        <v>7</v>
      </c>
      <c r="B8" s="4" t="s">
        <v>183</v>
      </c>
    </row>
    <row r="9" spans="1:2" ht="24.95" customHeight="1" x14ac:dyDescent="0.25">
      <c r="A9" s="13">
        <f t="shared" si="0"/>
        <v>8</v>
      </c>
      <c r="B9" s="4" t="s">
        <v>184</v>
      </c>
    </row>
    <row r="10" spans="1:2" ht="24.95" customHeight="1" x14ac:dyDescent="0.25">
      <c r="A10" s="13">
        <f t="shared" si="0"/>
        <v>9</v>
      </c>
      <c r="B10" s="4" t="s">
        <v>79</v>
      </c>
    </row>
    <row r="11" spans="1:2" ht="24.95" customHeight="1" x14ac:dyDescent="0.25">
      <c r="A11" s="13">
        <f t="shared" si="0"/>
        <v>10</v>
      </c>
      <c r="B11" s="4" t="s">
        <v>185</v>
      </c>
    </row>
    <row r="12" spans="1:2" ht="24.95" customHeight="1" x14ac:dyDescent="0.25">
      <c r="A12" s="13">
        <f t="shared" si="0"/>
        <v>11</v>
      </c>
      <c r="B12" s="4" t="s">
        <v>186</v>
      </c>
    </row>
    <row r="13" spans="1:2" ht="24.95" customHeight="1" x14ac:dyDescent="0.25">
      <c r="A13" s="13">
        <f t="shared" si="0"/>
        <v>12</v>
      </c>
      <c r="B13" s="4" t="s">
        <v>82</v>
      </c>
    </row>
    <row r="14" spans="1:2" ht="24.95" customHeight="1" x14ac:dyDescent="0.25">
      <c r="A14" s="13">
        <f t="shared" si="0"/>
        <v>13</v>
      </c>
      <c r="B14" s="4" t="s">
        <v>187</v>
      </c>
    </row>
    <row r="15" spans="1:2" ht="24.95" customHeight="1" x14ac:dyDescent="0.25">
      <c r="A15" s="13">
        <f t="shared" si="0"/>
        <v>14</v>
      </c>
      <c r="B15" s="4" t="s">
        <v>188</v>
      </c>
    </row>
    <row r="16" spans="1:2" ht="24.95" customHeight="1" x14ac:dyDescent="0.25">
      <c r="A16" s="13">
        <f t="shared" si="0"/>
        <v>15</v>
      </c>
      <c r="B16" s="4" t="s">
        <v>2</v>
      </c>
    </row>
    <row r="17" spans="1:2" ht="24.95" customHeight="1" x14ac:dyDescent="0.25">
      <c r="A17" s="13">
        <f t="shared" si="0"/>
        <v>16</v>
      </c>
      <c r="B17" s="4" t="s">
        <v>85</v>
      </c>
    </row>
    <row r="18" spans="1:2" ht="24.95" customHeight="1" x14ac:dyDescent="0.25">
      <c r="A18" s="13">
        <f t="shared" si="0"/>
        <v>17</v>
      </c>
      <c r="B18" s="4" t="s">
        <v>86</v>
      </c>
    </row>
    <row r="19" spans="1:2" ht="24.95" customHeight="1" x14ac:dyDescent="0.25">
      <c r="A19" s="13">
        <f t="shared" si="0"/>
        <v>18</v>
      </c>
      <c r="B19" s="4" t="s">
        <v>87</v>
      </c>
    </row>
    <row r="20" spans="1:2" ht="24.95" customHeight="1" x14ac:dyDescent="0.25">
      <c r="A20" s="13">
        <f t="shared" si="0"/>
        <v>19</v>
      </c>
      <c r="B20" s="4" t="s">
        <v>88</v>
      </c>
    </row>
    <row r="21" spans="1:2" ht="24.95" customHeight="1" x14ac:dyDescent="0.25">
      <c r="A21" s="13">
        <f t="shared" si="0"/>
        <v>20</v>
      </c>
      <c r="B21" s="4" t="s">
        <v>189</v>
      </c>
    </row>
    <row r="22" spans="1:2" ht="24.95" customHeight="1" x14ac:dyDescent="0.25">
      <c r="A22" s="13">
        <f t="shared" si="0"/>
        <v>21</v>
      </c>
      <c r="B22" s="4" t="s">
        <v>190</v>
      </c>
    </row>
    <row r="23" spans="1:2" ht="24.95" customHeight="1" x14ac:dyDescent="0.25">
      <c r="A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F801-85FB-41EC-BE94-110C100C9939}">
  <dimension ref="A1:B13"/>
  <sheetViews>
    <sheetView workbookViewId="0">
      <selection activeCell="B7" sqref="B7"/>
    </sheetView>
  </sheetViews>
  <sheetFormatPr baseColWidth="10" defaultColWidth="11.42578125" defaultRowHeight="24.95" customHeight="1" x14ac:dyDescent="0.25"/>
  <cols>
    <col min="2" max="2" width="61.140625" customWidth="1"/>
  </cols>
  <sheetData>
    <row r="1" spans="1:2" ht="24.95" customHeight="1" x14ac:dyDescent="0.25">
      <c r="A1" s="155" t="s">
        <v>191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6" t="s">
        <v>193</v>
      </c>
      <c r="B3" s="156"/>
    </row>
    <row r="4" spans="1:2" ht="24.95" customHeight="1" x14ac:dyDescent="0.25">
      <c r="A4" s="157" t="s">
        <v>194</v>
      </c>
      <c r="B4" s="157"/>
    </row>
    <row r="5" spans="1:2" s="8" customFormat="1" ht="37.5" customHeight="1" x14ac:dyDescent="0.25">
      <c r="A5" s="11" t="s">
        <v>195</v>
      </c>
      <c r="B5" s="9" t="s">
        <v>196</v>
      </c>
    </row>
    <row r="6" spans="1:2" s="8" customFormat="1" ht="34.5" customHeight="1" x14ac:dyDescent="0.25">
      <c r="A6" s="11" t="s">
        <v>197</v>
      </c>
      <c r="B6" s="9" t="s">
        <v>198</v>
      </c>
    </row>
    <row r="7" spans="1:2" ht="24.95" customHeight="1" x14ac:dyDescent="0.25">
      <c r="A7" s="11" t="s">
        <v>199</v>
      </c>
      <c r="B7" s="10" t="s">
        <v>200</v>
      </c>
    </row>
    <row r="8" spans="1:2" ht="24.95" customHeight="1" x14ac:dyDescent="0.25">
      <c r="A8" s="11" t="s">
        <v>201</v>
      </c>
      <c r="B8" s="10" t="s">
        <v>202</v>
      </c>
    </row>
    <row r="9" spans="1:2" ht="34.5" customHeight="1" x14ac:dyDescent="0.25">
      <c r="A9" s="11" t="s">
        <v>203</v>
      </c>
      <c r="B9" s="9" t="s">
        <v>204</v>
      </c>
    </row>
    <row r="10" spans="1:2" ht="9.9499999999999993" customHeight="1" x14ac:dyDescent="0.25">
      <c r="A10" s="7"/>
      <c r="B10" s="7"/>
    </row>
    <row r="11" spans="1:2" ht="24.95" customHeight="1" x14ac:dyDescent="0.25">
      <c r="A11" s="156" t="s">
        <v>205</v>
      </c>
      <c r="B11" s="156"/>
    </row>
    <row r="12" spans="1:2" ht="24.95" customHeight="1" x14ac:dyDescent="0.25">
      <c r="A12" s="3" t="s">
        <v>206</v>
      </c>
      <c r="B12" s="10" t="s">
        <v>207</v>
      </c>
    </row>
    <row r="13" spans="1:2" ht="24.95" customHeight="1" x14ac:dyDescent="0.25">
      <c r="A13" s="3" t="s">
        <v>208</v>
      </c>
      <c r="B13" s="10" t="s">
        <v>209</v>
      </c>
    </row>
  </sheetData>
  <mergeCells count="4">
    <mergeCell ref="A1:B1"/>
    <mergeCell ref="A11:B11"/>
    <mergeCell ref="A3:B3"/>
    <mergeCell ref="A4:B4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9310A-7C81-4174-AA4E-AFB9332947AD}">
  <dimension ref="A1:B26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28515625" customWidth="1"/>
  </cols>
  <sheetData>
    <row r="1" spans="1:2" ht="24.95" customHeight="1" x14ac:dyDescent="0.25">
      <c r="A1" s="155" t="s">
        <v>210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211</v>
      </c>
      <c r="B3" s="159"/>
    </row>
    <row r="4" spans="1:2" ht="24.95" customHeight="1" x14ac:dyDescent="0.25">
      <c r="A4" s="3" t="s">
        <v>195</v>
      </c>
      <c r="B4" s="6" t="s">
        <v>212</v>
      </c>
    </row>
    <row r="5" spans="1:2" ht="24.95" customHeight="1" x14ac:dyDescent="0.25">
      <c r="A5" s="3" t="s">
        <v>197</v>
      </c>
      <c r="B5" s="6" t="s">
        <v>213</v>
      </c>
    </row>
    <row r="6" spans="1:2" ht="24.95" customHeight="1" x14ac:dyDescent="0.25">
      <c r="A6" s="3" t="s">
        <v>199</v>
      </c>
      <c r="B6" s="6" t="s">
        <v>214</v>
      </c>
    </row>
    <row r="7" spans="1:2" ht="24.95" customHeight="1" x14ac:dyDescent="0.25">
      <c r="A7" s="3" t="s">
        <v>201</v>
      </c>
      <c r="B7" s="6" t="s">
        <v>215</v>
      </c>
    </row>
    <row r="8" spans="1:2" ht="24.95" customHeight="1" x14ac:dyDescent="0.25">
      <c r="A8" s="3" t="s">
        <v>203</v>
      </c>
      <c r="B8" s="6" t="s">
        <v>216</v>
      </c>
    </row>
    <row r="9" spans="1:2" ht="9.9499999999999993" customHeight="1" x14ac:dyDescent="0.25">
      <c r="A9" s="7"/>
      <c r="B9" s="7"/>
    </row>
    <row r="10" spans="1:2" ht="24.95" customHeight="1" x14ac:dyDescent="0.25">
      <c r="A10" s="158" t="s">
        <v>217</v>
      </c>
      <c r="B10" s="159"/>
    </row>
    <row r="11" spans="1:2" ht="24.95" customHeight="1" x14ac:dyDescent="0.25">
      <c r="A11" s="160" t="s">
        <v>218</v>
      </c>
      <c r="B11" s="161"/>
    </row>
    <row r="12" spans="1:2" ht="24.95" customHeight="1" x14ac:dyDescent="0.25">
      <c r="A12" s="3" t="s">
        <v>206</v>
      </c>
      <c r="B12" s="6" t="s">
        <v>219</v>
      </c>
    </row>
    <row r="13" spans="1:2" ht="24.95" customHeight="1" x14ac:dyDescent="0.25">
      <c r="A13" s="3" t="s">
        <v>208</v>
      </c>
      <c r="B13" s="6" t="s">
        <v>220</v>
      </c>
    </row>
    <row r="14" spans="1:2" ht="24.95" customHeight="1" x14ac:dyDescent="0.25">
      <c r="A14" s="3" t="s">
        <v>221</v>
      </c>
      <c r="B14" s="6" t="s">
        <v>222</v>
      </c>
    </row>
    <row r="15" spans="1:2" ht="24.95" customHeight="1" x14ac:dyDescent="0.25">
      <c r="A15" s="160" t="s">
        <v>223</v>
      </c>
      <c r="B15" s="161"/>
    </row>
    <row r="16" spans="1:2" ht="24.95" customHeight="1" x14ac:dyDescent="0.25">
      <c r="A16" s="3" t="s">
        <v>224</v>
      </c>
      <c r="B16" s="6" t="s">
        <v>225</v>
      </c>
    </row>
    <row r="17" spans="1:2" ht="24.95" customHeight="1" x14ac:dyDescent="0.25">
      <c r="A17" s="3" t="s">
        <v>226</v>
      </c>
      <c r="B17" s="6" t="s">
        <v>227</v>
      </c>
    </row>
    <row r="18" spans="1:2" ht="24.95" customHeight="1" x14ac:dyDescent="0.25">
      <c r="A18" s="3" t="s">
        <v>228</v>
      </c>
      <c r="B18" s="6" t="s">
        <v>229</v>
      </c>
    </row>
    <row r="19" spans="1:2" ht="24.95" customHeight="1" x14ac:dyDescent="0.25">
      <c r="A19" s="3" t="s">
        <v>230</v>
      </c>
      <c r="B19" s="6" t="s">
        <v>231</v>
      </c>
    </row>
    <row r="20" spans="1:2" ht="9.9499999999999993" customHeight="1" x14ac:dyDescent="0.25">
      <c r="A20" s="7"/>
      <c r="B20" s="7"/>
    </row>
    <row r="21" spans="1:2" ht="24.95" customHeight="1" x14ac:dyDescent="0.25">
      <c r="A21" s="158" t="s">
        <v>232</v>
      </c>
      <c r="B21" s="159"/>
    </row>
    <row r="22" spans="1:2" ht="24.95" customHeight="1" x14ac:dyDescent="0.25">
      <c r="A22" s="3" t="s">
        <v>233</v>
      </c>
      <c r="B22" s="6" t="s">
        <v>234</v>
      </c>
    </row>
    <row r="23" spans="1:2" ht="24.95" customHeight="1" x14ac:dyDescent="0.25">
      <c r="A23" s="3" t="s">
        <v>235</v>
      </c>
      <c r="B23" s="6" t="s">
        <v>236</v>
      </c>
    </row>
    <row r="24" spans="1:2" ht="24.95" customHeight="1" x14ac:dyDescent="0.25">
      <c r="A24" s="3" t="s">
        <v>237</v>
      </c>
      <c r="B24" s="6" t="s">
        <v>238</v>
      </c>
    </row>
    <row r="25" spans="1:2" ht="24.95" customHeight="1" x14ac:dyDescent="0.25">
      <c r="A25" s="3" t="s">
        <v>239</v>
      </c>
      <c r="B25" s="6" t="s">
        <v>240</v>
      </c>
    </row>
    <row r="26" spans="1:2" ht="24.95" customHeight="1" x14ac:dyDescent="0.25">
      <c r="A26" s="3" t="s">
        <v>241</v>
      </c>
      <c r="B26" s="6" t="s">
        <v>242</v>
      </c>
    </row>
  </sheetData>
  <mergeCells count="6">
    <mergeCell ref="A21:B21"/>
    <mergeCell ref="A1:B1"/>
    <mergeCell ref="A3:B3"/>
    <mergeCell ref="A10:B10"/>
    <mergeCell ref="A11:B11"/>
    <mergeCell ref="A15:B15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1E73-83AA-4E6B-9560-2D46702751F2}">
  <dimension ref="A1:B34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7109375" customWidth="1"/>
  </cols>
  <sheetData>
    <row r="1" spans="1:2" ht="24.95" customHeight="1" x14ac:dyDescent="0.25">
      <c r="A1" s="155" t="s">
        <v>243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244</v>
      </c>
      <c r="B3" s="159"/>
    </row>
    <row r="4" spans="1:2" ht="24.95" customHeight="1" x14ac:dyDescent="0.25">
      <c r="A4" s="3" t="s">
        <v>195</v>
      </c>
      <c r="B4" s="6" t="s">
        <v>245</v>
      </c>
    </row>
    <row r="5" spans="1:2" ht="24.95" customHeight="1" x14ac:dyDescent="0.25">
      <c r="A5" s="3" t="s">
        <v>197</v>
      </c>
      <c r="B5" s="6" t="s">
        <v>246</v>
      </c>
    </row>
    <row r="6" spans="1:2" ht="24.95" customHeight="1" x14ac:dyDescent="0.25">
      <c r="A6" s="3" t="s">
        <v>199</v>
      </c>
      <c r="B6" s="6" t="s">
        <v>247</v>
      </c>
    </row>
    <row r="7" spans="1:2" ht="9.9499999999999993" customHeight="1" x14ac:dyDescent="0.25">
      <c r="A7" s="7"/>
      <c r="B7" s="7"/>
    </row>
    <row r="8" spans="1:2" ht="24.95" customHeight="1" x14ac:dyDescent="0.25">
      <c r="A8" s="158" t="s">
        <v>248</v>
      </c>
      <c r="B8" s="159"/>
    </row>
    <row r="9" spans="1:2" ht="24.95" customHeight="1" x14ac:dyDescent="0.25">
      <c r="A9" s="3" t="s">
        <v>206</v>
      </c>
      <c r="B9" s="6" t="s">
        <v>249</v>
      </c>
    </row>
    <row r="10" spans="1:2" ht="24.95" customHeight="1" x14ac:dyDescent="0.25">
      <c r="A10" s="3" t="s">
        <v>208</v>
      </c>
      <c r="B10" s="6" t="s">
        <v>250</v>
      </c>
    </row>
    <row r="11" spans="1:2" ht="24.95" customHeight="1" x14ac:dyDescent="0.25">
      <c r="A11" s="3" t="s">
        <v>221</v>
      </c>
      <c r="B11" s="6" t="s">
        <v>251</v>
      </c>
    </row>
    <row r="12" spans="1:2" ht="24.95" customHeight="1" x14ac:dyDescent="0.25">
      <c r="A12" s="3" t="s">
        <v>224</v>
      </c>
      <c r="B12" s="6" t="s">
        <v>252</v>
      </c>
    </row>
    <row r="13" spans="1:2" ht="24.95" customHeight="1" x14ac:dyDescent="0.25">
      <c r="A13" s="3" t="s">
        <v>226</v>
      </c>
      <c r="B13" s="6" t="s">
        <v>253</v>
      </c>
    </row>
    <row r="14" spans="1:2" ht="9.9499999999999993" customHeight="1" x14ac:dyDescent="0.25">
      <c r="A14" s="7"/>
      <c r="B14" s="7"/>
    </row>
    <row r="15" spans="1:2" ht="24.95" customHeight="1" x14ac:dyDescent="0.25">
      <c r="A15" s="158" t="s">
        <v>254</v>
      </c>
      <c r="B15" s="159"/>
    </row>
    <row r="16" spans="1:2" ht="24.95" customHeight="1" x14ac:dyDescent="0.25">
      <c r="A16" s="3" t="s">
        <v>233</v>
      </c>
      <c r="B16" s="6" t="s">
        <v>255</v>
      </c>
    </row>
    <row r="17" spans="1:2" ht="24.95" customHeight="1" x14ac:dyDescent="0.25">
      <c r="A17" s="3" t="s">
        <v>235</v>
      </c>
      <c r="B17" s="6" t="s">
        <v>256</v>
      </c>
    </row>
    <row r="18" spans="1:2" ht="24.95" customHeight="1" x14ac:dyDescent="0.25">
      <c r="A18" s="3" t="s">
        <v>237</v>
      </c>
      <c r="B18" s="6" t="s">
        <v>257</v>
      </c>
    </row>
    <row r="19" spans="1:2" ht="24.95" customHeight="1" x14ac:dyDescent="0.25">
      <c r="A19" s="3" t="s">
        <v>239</v>
      </c>
      <c r="B19" s="6" t="s">
        <v>258</v>
      </c>
    </row>
    <row r="20" spans="1:2" ht="24.95" customHeight="1" x14ac:dyDescent="0.25">
      <c r="A20" s="3" t="s">
        <v>241</v>
      </c>
      <c r="B20" s="6" t="s">
        <v>259</v>
      </c>
    </row>
    <row r="21" spans="1:2" ht="9.9499999999999993" customHeight="1" x14ac:dyDescent="0.25">
      <c r="A21" s="7"/>
      <c r="B21" s="7"/>
    </row>
    <row r="22" spans="1:2" ht="24.95" customHeight="1" x14ac:dyDescent="0.25">
      <c r="A22" s="158" t="s">
        <v>260</v>
      </c>
      <c r="B22" s="159"/>
    </row>
    <row r="23" spans="1:2" ht="24.95" customHeight="1" x14ac:dyDescent="0.25">
      <c r="A23" s="3" t="s">
        <v>261</v>
      </c>
      <c r="B23" s="6" t="s">
        <v>262</v>
      </c>
    </row>
    <row r="24" spans="1:2" ht="24.95" customHeight="1" x14ac:dyDescent="0.25">
      <c r="A24" s="3" t="s">
        <v>263</v>
      </c>
      <c r="B24" s="6" t="s">
        <v>264</v>
      </c>
    </row>
    <row r="25" spans="1:2" ht="24.95" customHeight="1" x14ac:dyDescent="0.25">
      <c r="A25" s="3" t="s">
        <v>265</v>
      </c>
      <c r="B25" s="6" t="s">
        <v>266</v>
      </c>
    </row>
    <row r="26" spans="1:2" ht="24.95" customHeight="1" x14ac:dyDescent="0.25">
      <c r="A26" s="3" t="s">
        <v>267</v>
      </c>
      <c r="B26" s="6" t="s">
        <v>268</v>
      </c>
    </row>
    <row r="27" spans="1:2" ht="9.9499999999999993" customHeight="1" x14ac:dyDescent="0.25">
      <c r="A27" s="7"/>
      <c r="B27" s="7"/>
    </row>
    <row r="28" spans="1:2" ht="24.95" customHeight="1" x14ac:dyDescent="0.25">
      <c r="A28" s="158" t="s">
        <v>269</v>
      </c>
      <c r="B28" s="159"/>
    </row>
    <row r="29" spans="1:2" ht="24.95" customHeight="1" x14ac:dyDescent="0.25">
      <c r="A29" s="3" t="s">
        <v>270</v>
      </c>
      <c r="B29" s="6" t="s">
        <v>271</v>
      </c>
    </row>
    <row r="30" spans="1:2" ht="9.9499999999999993" customHeight="1" x14ac:dyDescent="0.25">
      <c r="A30" s="7"/>
      <c r="B30" s="7"/>
    </row>
    <row r="31" spans="1:2" ht="24.95" customHeight="1" x14ac:dyDescent="0.25">
      <c r="A31" s="158" t="s">
        <v>272</v>
      </c>
      <c r="B31" s="159"/>
    </row>
    <row r="32" spans="1:2" ht="24.95" customHeight="1" x14ac:dyDescent="0.25">
      <c r="A32" s="3" t="s">
        <v>273</v>
      </c>
      <c r="B32" s="6" t="s">
        <v>274</v>
      </c>
    </row>
    <row r="33" spans="1:2" ht="24.95" customHeight="1" x14ac:dyDescent="0.25">
      <c r="A33" s="3" t="s">
        <v>275</v>
      </c>
      <c r="B33" s="6" t="s">
        <v>276</v>
      </c>
    </row>
    <row r="34" spans="1:2" ht="24.95" customHeight="1" x14ac:dyDescent="0.25">
      <c r="A34" s="3" t="s">
        <v>277</v>
      </c>
      <c r="B34" s="6" t="s">
        <v>278</v>
      </c>
    </row>
  </sheetData>
  <mergeCells count="7">
    <mergeCell ref="A1:B1"/>
    <mergeCell ref="A31:B31"/>
    <mergeCell ref="A3:B3"/>
    <mergeCell ref="A8:B8"/>
    <mergeCell ref="A15:B15"/>
    <mergeCell ref="A22:B22"/>
    <mergeCell ref="A28:B28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0EE1-E982-4194-9CD6-112572F52A0E}">
  <dimension ref="A1:B23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42578125" customWidth="1"/>
  </cols>
  <sheetData>
    <row r="1" spans="1:2" ht="24.95" customHeight="1" x14ac:dyDescent="0.25">
      <c r="A1" s="155" t="s">
        <v>279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280</v>
      </c>
      <c r="B3" s="159"/>
    </row>
    <row r="4" spans="1:2" ht="24.95" customHeight="1" x14ac:dyDescent="0.25">
      <c r="A4" s="3" t="s">
        <v>195</v>
      </c>
      <c r="B4" s="6" t="s">
        <v>281</v>
      </c>
    </row>
    <row r="5" spans="1:2" ht="24.95" customHeight="1" x14ac:dyDescent="0.25">
      <c r="A5" s="3" t="s">
        <v>197</v>
      </c>
      <c r="B5" s="6" t="s">
        <v>282</v>
      </c>
    </row>
    <row r="6" spans="1:2" ht="24.95" customHeight="1" x14ac:dyDescent="0.25">
      <c r="A6" s="3" t="s">
        <v>201</v>
      </c>
      <c r="B6" s="6" t="s">
        <v>283</v>
      </c>
    </row>
    <row r="7" spans="1:2" ht="9.9499999999999993" customHeight="1" x14ac:dyDescent="0.25">
      <c r="A7" s="7"/>
      <c r="B7" s="7"/>
    </row>
    <row r="8" spans="1:2" ht="24.95" customHeight="1" x14ac:dyDescent="0.25">
      <c r="A8" s="158" t="s">
        <v>284</v>
      </c>
      <c r="B8" s="159"/>
    </row>
    <row r="9" spans="1:2" ht="24.95" customHeight="1" x14ac:dyDescent="0.25">
      <c r="A9" s="3" t="s">
        <v>206</v>
      </c>
      <c r="B9" s="6" t="s">
        <v>285</v>
      </c>
    </row>
    <row r="10" spans="1:2" ht="9.9499999999999993" customHeight="1" x14ac:dyDescent="0.25">
      <c r="A10" s="7"/>
      <c r="B10" s="7"/>
    </row>
    <row r="11" spans="1:2" ht="24.95" customHeight="1" x14ac:dyDescent="0.25">
      <c r="A11" s="158" t="s">
        <v>286</v>
      </c>
      <c r="B11" s="159"/>
    </row>
    <row r="12" spans="1:2" ht="24.95" customHeight="1" x14ac:dyDescent="0.25">
      <c r="A12" s="3" t="s">
        <v>233</v>
      </c>
      <c r="B12" s="6" t="s">
        <v>287</v>
      </c>
    </row>
    <row r="13" spans="1:2" ht="24.95" customHeight="1" x14ac:dyDescent="0.25">
      <c r="A13" s="3" t="s">
        <v>235</v>
      </c>
      <c r="B13" s="6" t="s">
        <v>288</v>
      </c>
    </row>
    <row r="14" spans="1:2" ht="9.9499999999999993" customHeight="1" x14ac:dyDescent="0.25">
      <c r="A14" s="7"/>
      <c r="B14" s="7"/>
    </row>
    <row r="15" spans="1:2" ht="24.95" customHeight="1" x14ac:dyDescent="0.25">
      <c r="A15" s="158" t="s">
        <v>289</v>
      </c>
      <c r="B15" s="159"/>
    </row>
    <row r="16" spans="1:2" ht="24.95" customHeight="1" x14ac:dyDescent="0.25">
      <c r="A16" s="3" t="s">
        <v>261</v>
      </c>
      <c r="B16" s="6" t="s">
        <v>290</v>
      </c>
    </row>
    <row r="17" spans="1:2" ht="24.95" customHeight="1" x14ac:dyDescent="0.25">
      <c r="A17" s="3" t="s">
        <v>263</v>
      </c>
      <c r="B17" s="6" t="s">
        <v>291</v>
      </c>
    </row>
    <row r="18" spans="1:2" ht="24.95" customHeight="1" x14ac:dyDescent="0.25">
      <c r="A18" s="3" t="s">
        <v>265</v>
      </c>
      <c r="B18" s="6" t="s">
        <v>292</v>
      </c>
    </row>
    <row r="19" spans="1:2" ht="9.9499999999999993" customHeight="1" x14ac:dyDescent="0.25">
      <c r="A19" s="7"/>
      <c r="B19" s="7"/>
    </row>
    <row r="20" spans="1:2" ht="24.95" customHeight="1" x14ac:dyDescent="0.25">
      <c r="A20" s="158" t="s">
        <v>293</v>
      </c>
      <c r="B20" s="159"/>
    </row>
    <row r="21" spans="1:2" ht="24.95" customHeight="1" x14ac:dyDescent="0.25">
      <c r="A21" s="3" t="s">
        <v>270</v>
      </c>
      <c r="B21" s="6" t="s">
        <v>294</v>
      </c>
    </row>
    <row r="22" spans="1:2" ht="24.95" customHeight="1" x14ac:dyDescent="0.25">
      <c r="A22" s="3" t="s">
        <v>295</v>
      </c>
      <c r="B22" s="6" t="s">
        <v>296</v>
      </c>
    </row>
    <row r="23" spans="1:2" ht="24.95" customHeight="1" x14ac:dyDescent="0.25">
      <c r="A23" s="3" t="s">
        <v>297</v>
      </c>
      <c r="B23" s="6" t="s">
        <v>298</v>
      </c>
    </row>
  </sheetData>
  <mergeCells count="6">
    <mergeCell ref="A20:B20"/>
    <mergeCell ref="A1:B1"/>
    <mergeCell ref="A3:B3"/>
    <mergeCell ref="A8:B8"/>
    <mergeCell ref="A11:B11"/>
    <mergeCell ref="A15:B15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A4CC-8AF2-486B-9070-532D3DB8A0DE}">
  <dimension ref="A1:B24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71.140625" customWidth="1"/>
  </cols>
  <sheetData>
    <row r="1" spans="1:2" ht="24.95" customHeight="1" x14ac:dyDescent="0.25">
      <c r="A1" s="155" t="s">
        <v>299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300</v>
      </c>
      <c r="B3" s="159"/>
    </row>
    <row r="4" spans="1:2" ht="24.95" customHeight="1" x14ac:dyDescent="0.25">
      <c r="A4" s="3" t="s">
        <v>195</v>
      </c>
      <c r="B4" s="6" t="s">
        <v>301</v>
      </c>
    </row>
    <row r="5" spans="1:2" ht="24.95" customHeight="1" x14ac:dyDescent="0.25">
      <c r="A5" s="3" t="s">
        <v>197</v>
      </c>
      <c r="B5" s="6" t="s">
        <v>302</v>
      </c>
    </row>
    <row r="6" spans="1:2" ht="9.9499999999999993" customHeight="1" x14ac:dyDescent="0.25">
      <c r="A6" s="7"/>
      <c r="B6" s="7"/>
    </row>
    <row r="7" spans="1:2" ht="24.95" customHeight="1" x14ac:dyDescent="0.25">
      <c r="A7" s="158" t="s">
        <v>303</v>
      </c>
      <c r="B7" s="159"/>
    </row>
    <row r="8" spans="1:2" ht="24.95" customHeight="1" x14ac:dyDescent="0.25">
      <c r="A8" s="3" t="s">
        <v>206</v>
      </c>
      <c r="B8" s="6" t="s">
        <v>304</v>
      </c>
    </row>
    <row r="9" spans="1:2" ht="9.9499999999999993" customHeight="1" x14ac:dyDescent="0.25">
      <c r="A9" s="7"/>
      <c r="B9" s="7"/>
    </row>
    <row r="10" spans="1:2" ht="24.95" customHeight="1" x14ac:dyDescent="0.25">
      <c r="A10" s="158" t="s">
        <v>305</v>
      </c>
      <c r="B10" s="159"/>
    </row>
    <row r="11" spans="1:2" ht="33" customHeight="1" x14ac:dyDescent="0.25">
      <c r="A11" s="3" t="s">
        <v>233</v>
      </c>
      <c r="B11" s="12" t="s">
        <v>306</v>
      </c>
    </row>
    <row r="12" spans="1:2" ht="24.95" customHeight="1" x14ac:dyDescent="0.25">
      <c r="A12" s="3" t="s">
        <v>235</v>
      </c>
      <c r="B12" s="6" t="s">
        <v>307</v>
      </c>
    </row>
    <row r="13" spans="1:2" ht="9.9499999999999993" customHeight="1" x14ac:dyDescent="0.25">
      <c r="A13" s="7"/>
      <c r="B13" s="7"/>
    </row>
    <row r="14" spans="1:2" ht="24.95" customHeight="1" x14ac:dyDescent="0.25">
      <c r="A14" s="158" t="s">
        <v>308</v>
      </c>
      <c r="B14" s="159"/>
    </row>
    <row r="15" spans="1:2" ht="24.95" customHeight="1" x14ac:dyDescent="0.25">
      <c r="A15" s="3" t="s">
        <v>261</v>
      </c>
      <c r="B15" s="6" t="s">
        <v>309</v>
      </c>
    </row>
    <row r="16" spans="1:2" ht="24.95" customHeight="1" x14ac:dyDescent="0.25">
      <c r="A16" s="3" t="s">
        <v>263</v>
      </c>
      <c r="B16" s="6" t="s">
        <v>310</v>
      </c>
    </row>
    <row r="17" spans="1:2" ht="24.95" customHeight="1" x14ac:dyDescent="0.25">
      <c r="A17" s="3" t="s">
        <v>265</v>
      </c>
      <c r="B17" s="6" t="s">
        <v>311</v>
      </c>
    </row>
    <row r="18" spans="1:2" ht="35.25" customHeight="1" x14ac:dyDescent="0.25">
      <c r="A18" s="3" t="s">
        <v>267</v>
      </c>
      <c r="B18" s="12" t="s">
        <v>312</v>
      </c>
    </row>
    <row r="19" spans="1:2" ht="9.9499999999999993" customHeight="1" x14ac:dyDescent="0.25">
      <c r="A19" s="7"/>
      <c r="B19" s="7"/>
    </row>
    <row r="20" spans="1:2" ht="24.95" customHeight="1" x14ac:dyDescent="0.25">
      <c r="A20" s="158" t="s">
        <v>313</v>
      </c>
      <c r="B20" s="159"/>
    </row>
    <row r="21" spans="1:2" ht="24.95" customHeight="1" x14ac:dyDescent="0.25">
      <c r="A21" s="3" t="s">
        <v>273</v>
      </c>
      <c r="B21" s="6" t="s">
        <v>314</v>
      </c>
    </row>
    <row r="22" spans="1:2" ht="24.95" customHeight="1" x14ac:dyDescent="0.25">
      <c r="A22" s="3" t="s">
        <v>275</v>
      </c>
      <c r="B22" s="6" t="s">
        <v>315</v>
      </c>
    </row>
    <row r="23" spans="1:2" ht="24.95" customHeight="1" x14ac:dyDescent="0.25">
      <c r="A23" s="3" t="s">
        <v>277</v>
      </c>
      <c r="B23" s="6" t="s">
        <v>316</v>
      </c>
    </row>
    <row r="24" spans="1:2" ht="24.95" customHeight="1" x14ac:dyDescent="0.25">
      <c r="A24" s="3" t="s">
        <v>317</v>
      </c>
      <c r="B24" s="6" t="s">
        <v>318</v>
      </c>
    </row>
  </sheetData>
  <mergeCells count="6">
    <mergeCell ref="A20:B20"/>
    <mergeCell ref="A1:B1"/>
    <mergeCell ref="A3:B3"/>
    <mergeCell ref="A7:B7"/>
    <mergeCell ref="A10:B10"/>
    <mergeCell ref="A14:B14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50BD-88D4-4B0A-9C6D-4E33AB274703}">
  <dimension ref="A1:B17"/>
  <sheetViews>
    <sheetView workbookViewId="0">
      <selection activeCell="B5" sqref="B5"/>
    </sheetView>
  </sheetViews>
  <sheetFormatPr baseColWidth="10" defaultColWidth="11.42578125" defaultRowHeight="24.95" customHeight="1" x14ac:dyDescent="0.25"/>
  <cols>
    <col min="2" max="2" width="66" customWidth="1"/>
  </cols>
  <sheetData>
    <row r="1" spans="1:2" ht="24.95" customHeight="1" x14ac:dyDescent="0.25">
      <c r="A1" s="155" t="s">
        <v>319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6" t="s">
        <v>320</v>
      </c>
      <c r="B3" s="156"/>
    </row>
    <row r="4" spans="1:2" ht="24.95" customHeight="1" x14ac:dyDescent="0.25">
      <c r="A4" s="3" t="s">
        <v>195</v>
      </c>
      <c r="B4" s="6" t="s">
        <v>321</v>
      </c>
    </row>
    <row r="5" spans="1:2" ht="24.95" customHeight="1" x14ac:dyDescent="0.25">
      <c r="A5" s="3" t="s">
        <v>197</v>
      </c>
      <c r="B5" s="6" t="s">
        <v>322</v>
      </c>
    </row>
    <row r="6" spans="1:2" ht="24.95" customHeight="1" x14ac:dyDescent="0.25">
      <c r="A6" s="3" t="s">
        <v>199</v>
      </c>
      <c r="B6" s="6" t="s">
        <v>323</v>
      </c>
    </row>
    <row r="7" spans="1:2" ht="24.95" customHeight="1" x14ac:dyDescent="0.25">
      <c r="A7" s="3" t="s">
        <v>201</v>
      </c>
      <c r="B7" s="6" t="s">
        <v>324</v>
      </c>
    </row>
    <row r="8" spans="1:2" ht="9.9499999999999993" customHeight="1" x14ac:dyDescent="0.25">
      <c r="A8" s="7"/>
      <c r="B8" s="7"/>
    </row>
    <row r="9" spans="1:2" ht="24.95" customHeight="1" x14ac:dyDescent="0.25">
      <c r="A9" s="156" t="s">
        <v>325</v>
      </c>
      <c r="B9" s="156"/>
    </row>
    <row r="10" spans="1:2" ht="24.95" customHeight="1" x14ac:dyDescent="0.25">
      <c r="A10" s="3" t="s">
        <v>206</v>
      </c>
      <c r="B10" s="6" t="s">
        <v>326</v>
      </c>
    </row>
    <row r="11" spans="1:2" ht="24.95" customHeight="1" x14ac:dyDescent="0.25">
      <c r="A11" s="3" t="s">
        <v>208</v>
      </c>
      <c r="B11" s="6" t="s">
        <v>327</v>
      </c>
    </row>
    <row r="12" spans="1:2" ht="24.95" customHeight="1" x14ac:dyDescent="0.25">
      <c r="A12" s="3" t="s">
        <v>221</v>
      </c>
      <c r="B12" s="6" t="s">
        <v>328</v>
      </c>
    </row>
    <row r="13" spans="1:2" ht="9.9499999999999993" customHeight="1" x14ac:dyDescent="0.25">
      <c r="A13" s="7"/>
      <c r="B13" s="7"/>
    </row>
    <row r="14" spans="1:2" ht="24.95" customHeight="1" x14ac:dyDescent="0.25">
      <c r="A14" s="156" t="s">
        <v>329</v>
      </c>
      <c r="B14" s="156"/>
    </row>
    <row r="15" spans="1:2" ht="24.95" customHeight="1" x14ac:dyDescent="0.25">
      <c r="A15" s="3" t="s">
        <v>233</v>
      </c>
      <c r="B15" s="6" t="s">
        <v>330</v>
      </c>
    </row>
    <row r="16" spans="1:2" ht="24.95" customHeight="1" x14ac:dyDescent="0.25">
      <c r="A16" s="3" t="s">
        <v>235</v>
      </c>
      <c r="B16" s="6" t="s">
        <v>331</v>
      </c>
    </row>
    <row r="17" spans="1:2" ht="24.95" customHeight="1" x14ac:dyDescent="0.25">
      <c r="A17" s="3" t="s">
        <v>237</v>
      </c>
      <c r="B17" s="6" t="s">
        <v>332</v>
      </c>
    </row>
  </sheetData>
  <mergeCells count="4">
    <mergeCell ref="A1:B1"/>
    <mergeCell ref="A3:B3"/>
    <mergeCell ref="A14:B14"/>
    <mergeCell ref="A9:B9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D148-0436-49C2-8688-A955E8A681C8}">
  <dimension ref="A1:B23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75.42578125" customWidth="1"/>
  </cols>
  <sheetData>
    <row r="1" spans="1:2" ht="24.95" customHeight="1" x14ac:dyDescent="0.25">
      <c r="A1" s="155" t="s">
        <v>333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334</v>
      </c>
      <c r="B3" s="159"/>
    </row>
    <row r="4" spans="1:2" ht="33.75" customHeight="1" x14ac:dyDescent="0.25">
      <c r="A4" s="3" t="s">
        <v>195</v>
      </c>
      <c r="B4" s="12" t="s">
        <v>335</v>
      </c>
    </row>
    <row r="5" spans="1:2" ht="24.95" customHeight="1" x14ac:dyDescent="0.25">
      <c r="A5" s="3" t="s">
        <v>197</v>
      </c>
      <c r="B5" s="6" t="s">
        <v>336</v>
      </c>
    </row>
    <row r="6" spans="1:2" ht="24.95" customHeight="1" x14ac:dyDescent="0.25">
      <c r="A6" s="3" t="s">
        <v>199</v>
      </c>
      <c r="B6" s="6" t="s">
        <v>337</v>
      </c>
    </row>
    <row r="7" spans="1:2" ht="9.9499999999999993" customHeight="1" x14ac:dyDescent="0.25">
      <c r="A7" s="7"/>
      <c r="B7" s="7"/>
    </row>
    <row r="8" spans="1:2" ht="24.95" customHeight="1" x14ac:dyDescent="0.25">
      <c r="A8" s="158" t="s">
        <v>338</v>
      </c>
      <c r="B8" s="159"/>
    </row>
    <row r="9" spans="1:2" ht="24.95" customHeight="1" x14ac:dyDescent="0.25">
      <c r="A9" s="3" t="s">
        <v>206</v>
      </c>
      <c r="B9" s="6" t="s">
        <v>339</v>
      </c>
    </row>
    <row r="10" spans="1:2" ht="9.9499999999999993" customHeight="1" x14ac:dyDescent="0.25">
      <c r="A10" s="7"/>
      <c r="B10" s="7"/>
    </row>
    <row r="11" spans="1:2" ht="24.95" customHeight="1" x14ac:dyDescent="0.25">
      <c r="A11" s="158" t="s">
        <v>340</v>
      </c>
      <c r="B11" s="159"/>
    </row>
    <row r="12" spans="1:2" ht="24.95" customHeight="1" x14ac:dyDescent="0.25">
      <c r="A12" s="160" t="s">
        <v>341</v>
      </c>
      <c r="B12" s="161"/>
    </row>
    <row r="13" spans="1:2" ht="24.95" customHeight="1" x14ac:dyDescent="0.25">
      <c r="A13" s="3" t="s">
        <v>233</v>
      </c>
      <c r="B13" s="6" t="s">
        <v>342</v>
      </c>
    </row>
    <row r="14" spans="1:2" ht="24.95" customHeight="1" x14ac:dyDescent="0.25">
      <c r="A14" s="3" t="s">
        <v>235</v>
      </c>
      <c r="B14" s="6" t="s">
        <v>343</v>
      </c>
    </row>
    <row r="15" spans="1:2" ht="24.95" customHeight="1" x14ac:dyDescent="0.25">
      <c r="A15" s="160" t="s">
        <v>344</v>
      </c>
      <c r="B15" s="161"/>
    </row>
    <row r="16" spans="1:2" ht="24.95" customHeight="1" x14ac:dyDescent="0.25">
      <c r="A16" s="3" t="s">
        <v>237</v>
      </c>
      <c r="B16" s="6" t="s">
        <v>345</v>
      </c>
    </row>
    <row r="17" spans="1:2" ht="24.95" customHeight="1" x14ac:dyDescent="0.25">
      <c r="A17" s="3" t="s">
        <v>239</v>
      </c>
      <c r="B17" s="6" t="s">
        <v>346</v>
      </c>
    </row>
    <row r="18" spans="1:2" ht="9.9499999999999993" customHeight="1" x14ac:dyDescent="0.25">
      <c r="A18" s="7"/>
      <c r="B18" s="7"/>
    </row>
    <row r="19" spans="1:2" ht="24.95" customHeight="1" x14ac:dyDescent="0.25">
      <c r="A19" s="158" t="s">
        <v>347</v>
      </c>
      <c r="B19" s="159"/>
    </row>
    <row r="20" spans="1:2" ht="24.95" customHeight="1" x14ac:dyDescent="0.25">
      <c r="A20" s="3" t="s">
        <v>261</v>
      </c>
      <c r="B20" s="6" t="s">
        <v>348</v>
      </c>
    </row>
    <row r="21" spans="1:2" ht="33" customHeight="1" x14ac:dyDescent="0.25">
      <c r="A21" s="3" t="s">
        <v>263</v>
      </c>
      <c r="B21" s="12" t="s">
        <v>349</v>
      </c>
    </row>
    <row r="22" spans="1:2" ht="24.95" customHeight="1" x14ac:dyDescent="0.25">
      <c r="A22" s="3" t="s">
        <v>263</v>
      </c>
      <c r="B22" s="6" t="s">
        <v>350</v>
      </c>
    </row>
    <row r="23" spans="1:2" ht="24.95" customHeight="1" x14ac:dyDescent="0.25">
      <c r="A23" s="3" t="s">
        <v>263</v>
      </c>
      <c r="B23" s="6" t="s">
        <v>351</v>
      </c>
    </row>
  </sheetData>
  <mergeCells count="7">
    <mergeCell ref="A1:B1"/>
    <mergeCell ref="A19:B19"/>
    <mergeCell ref="A15:B15"/>
    <mergeCell ref="A12:B12"/>
    <mergeCell ref="A11:B11"/>
    <mergeCell ref="A8:B8"/>
    <mergeCell ref="A3:B3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096B-17F4-4B5C-AAB0-50DBFE151B46}">
  <dimension ref="A1:B16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352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353</v>
      </c>
      <c r="B3" s="159"/>
    </row>
    <row r="4" spans="1:2" ht="36.75" customHeight="1" x14ac:dyDescent="0.25">
      <c r="A4" s="3" t="s">
        <v>195</v>
      </c>
      <c r="B4" s="12" t="s">
        <v>354</v>
      </c>
    </row>
    <row r="5" spans="1:2" ht="24.95" customHeight="1" x14ac:dyDescent="0.25">
      <c r="A5" s="3" t="s">
        <v>197</v>
      </c>
      <c r="B5" s="6" t="s">
        <v>355</v>
      </c>
    </row>
    <row r="6" spans="1:2" ht="9.9499999999999993" customHeight="1" x14ac:dyDescent="0.25">
      <c r="A6" s="7"/>
      <c r="B6" s="7"/>
    </row>
    <row r="7" spans="1:2" ht="24.95" customHeight="1" x14ac:dyDescent="0.25">
      <c r="A7" s="158" t="s">
        <v>356</v>
      </c>
      <c r="B7" s="159"/>
    </row>
    <row r="8" spans="1:2" ht="24.95" customHeight="1" x14ac:dyDescent="0.25">
      <c r="A8" s="3" t="s">
        <v>206</v>
      </c>
      <c r="B8" s="6" t="s">
        <v>357</v>
      </c>
    </row>
    <row r="9" spans="1:2" ht="9.9499999999999993" customHeight="1" x14ac:dyDescent="0.25">
      <c r="A9" s="7"/>
      <c r="B9" s="7"/>
    </row>
    <row r="10" spans="1:2" ht="24.95" customHeight="1" x14ac:dyDescent="0.25">
      <c r="A10" s="158" t="s">
        <v>358</v>
      </c>
      <c r="B10" s="159"/>
    </row>
    <row r="11" spans="1:2" ht="24.95" customHeight="1" x14ac:dyDescent="0.25">
      <c r="A11" s="3" t="s">
        <v>233</v>
      </c>
      <c r="B11" s="6" t="s">
        <v>359</v>
      </c>
    </row>
    <row r="12" spans="1:2" ht="9.9499999999999993" customHeight="1" x14ac:dyDescent="0.25">
      <c r="A12" s="7"/>
      <c r="B12" s="7"/>
    </row>
    <row r="13" spans="1:2" ht="24.95" customHeight="1" x14ac:dyDescent="0.25">
      <c r="A13" s="158" t="s">
        <v>360</v>
      </c>
      <c r="B13" s="159"/>
    </row>
    <row r="14" spans="1:2" ht="24.95" customHeight="1" x14ac:dyDescent="0.25">
      <c r="A14" s="3" t="s">
        <v>261</v>
      </c>
      <c r="B14" s="6" t="s">
        <v>361</v>
      </c>
    </row>
    <row r="15" spans="1:2" ht="24.95" customHeight="1" x14ac:dyDescent="0.25">
      <c r="A15" s="3" t="s">
        <v>263</v>
      </c>
      <c r="B15" s="6" t="s">
        <v>362</v>
      </c>
    </row>
    <row r="16" spans="1:2" ht="9.9499999999999993" customHeight="1" x14ac:dyDescent="0.25">
      <c r="A16" s="7"/>
      <c r="B16" s="7"/>
    </row>
  </sheetData>
  <mergeCells count="5">
    <mergeCell ref="A1:B1"/>
    <mergeCell ref="A3:B3"/>
    <mergeCell ref="A7:B7"/>
    <mergeCell ref="A10:B10"/>
    <mergeCell ref="A13:B13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5599-0BFD-44F5-B1CD-70284DF9AAC8}">
  <dimension ref="A1:B24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80.42578125" customWidth="1"/>
  </cols>
  <sheetData>
    <row r="1" spans="1:2" ht="24.95" customHeight="1" x14ac:dyDescent="0.25">
      <c r="A1" s="155" t="s">
        <v>363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364</v>
      </c>
      <c r="B3" s="159"/>
    </row>
    <row r="4" spans="1:2" ht="24.95" customHeight="1" x14ac:dyDescent="0.25">
      <c r="A4" s="3" t="s">
        <v>197</v>
      </c>
      <c r="B4" s="6" t="s">
        <v>365</v>
      </c>
    </row>
    <row r="5" spans="1:2" ht="9.9499999999999993" customHeight="1" x14ac:dyDescent="0.25">
      <c r="A5" s="13"/>
      <c r="B5" s="6"/>
    </row>
    <row r="6" spans="1:2" ht="24.95" customHeight="1" x14ac:dyDescent="0.25">
      <c r="A6" s="158" t="s">
        <v>366</v>
      </c>
      <c r="B6" s="159"/>
    </row>
    <row r="7" spans="1:2" ht="24.95" customHeight="1" x14ac:dyDescent="0.25">
      <c r="A7" s="160" t="s">
        <v>367</v>
      </c>
      <c r="B7" s="161"/>
    </row>
    <row r="8" spans="1:2" ht="24.95" customHeight="1" x14ac:dyDescent="0.25">
      <c r="A8" s="3" t="s">
        <v>206</v>
      </c>
      <c r="B8" s="6" t="s">
        <v>368</v>
      </c>
    </row>
    <row r="9" spans="1:2" ht="24.95" customHeight="1" x14ac:dyDescent="0.25">
      <c r="A9" s="3" t="s">
        <v>221</v>
      </c>
      <c r="B9" s="6" t="s">
        <v>369</v>
      </c>
    </row>
    <row r="10" spans="1:2" ht="9.9499999999999993" customHeight="1" x14ac:dyDescent="0.25">
      <c r="A10" s="7"/>
      <c r="B10" s="7"/>
    </row>
    <row r="11" spans="1:2" ht="24.95" customHeight="1" x14ac:dyDescent="0.25">
      <c r="A11" s="158" t="s">
        <v>370</v>
      </c>
      <c r="B11" s="159"/>
    </row>
    <row r="12" spans="1:2" ht="24.95" customHeight="1" x14ac:dyDescent="0.25">
      <c r="A12" s="160" t="s">
        <v>371</v>
      </c>
      <c r="B12" s="161"/>
    </row>
    <row r="13" spans="1:2" ht="24.95" customHeight="1" x14ac:dyDescent="0.25">
      <c r="A13" s="3" t="s">
        <v>233</v>
      </c>
      <c r="B13" s="6" t="s">
        <v>372</v>
      </c>
    </row>
    <row r="14" spans="1:2" ht="24.95" customHeight="1" x14ac:dyDescent="0.25">
      <c r="A14" s="3" t="s">
        <v>235</v>
      </c>
      <c r="B14" s="6" t="s">
        <v>373</v>
      </c>
    </row>
    <row r="15" spans="1:2" ht="24.95" customHeight="1" x14ac:dyDescent="0.25">
      <c r="A15" s="160" t="s">
        <v>374</v>
      </c>
      <c r="B15" s="161"/>
    </row>
    <row r="16" spans="1:2" ht="24.95" customHeight="1" x14ac:dyDescent="0.25">
      <c r="A16" s="3" t="s">
        <v>237</v>
      </c>
      <c r="B16" s="6" t="s">
        <v>375</v>
      </c>
    </row>
    <row r="17" spans="1:2" ht="24.95" customHeight="1" x14ac:dyDescent="0.25">
      <c r="A17" s="3" t="s">
        <v>239</v>
      </c>
      <c r="B17" s="6" t="s">
        <v>376</v>
      </c>
    </row>
    <row r="18" spans="1:2" ht="9.9499999999999993" customHeight="1" x14ac:dyDescent="0.25">
      <c r="A18" s="7"/>
      <c r="B18" s="7"/>
    </row>
    <row r="19" spans="1:2" ht="24.95" customHeight="1" x14ac:dyDescent="0.25">
      <c r="A19" s="158" t="s">
        <v>377</v>
      </c>
      <c r="B19" s="159"/>
    </row>
    <row r="20" spans="1:2" ht="37.5" customHeight="1" x14ac:dyDescent="0.25">
      <c r="A20" s="3" t="s">
        <v>261</v>
      </c>
      <c r="B20" s="12" t="s">
        <v>378</v>
      </c>
    </row>
    <row r="21" spans="1:2" ht="24.95" customHeight="1" x14ac:dyDescent="0.25">
      <c r="A21" s="3" t="s">
        <v>263</v>
      </c>
      <c r="B21" s="6" t="s">
        <v>379</v>
      </c>
    </row>
    <row r="22" spans="1:2" ht="9.9499999999999993" customHeight="1" x14ac:dyDescent="0.25">
      <c r="A22" s="7"/>
      <c r="B22" s="7"/>
    </row>
    <row r="23" spans="1:2" ht="24.95" customHeight="1" x14ac:dyDescent="0.25">
      <c r="A23" s="158" t="s">
        <v>380</v>
      </c>
      <c r="B23" s="159"/>
    </row>
    <row r="24" spans="1:2" ht="24.95" customHeight="1" x14ac:dyDescent="0.25">
      <c r="A24" s="3" t="s">
        <v>270</v>
      </c>
      <c r="B24" s="6" t="s">
        <v>381</v>
      </c>
    </row>
  </sheetData>
  <mergeCells count="9">
    <mergeCell ref="A19:B19"/>
    <mergeCell ref="A23:B23"/>
    <mergeCell ref="A12:B12"/>
    <mergeCell ref="A15:B15"/>
    <mergeCell ref="A1:B1"/>
    <mergeCell ref="A7:B7"/>
    <mergeCell ref="A3:B3"/>
    <mergeCell ref="A6:B6"/>
    <mergeCell ref="A11:B11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F47C-05B1-47C8-98B9-7EDBBE9B5435}">
  <dimension ref="A1:B6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382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3">
        <v>1</v>
      </c>
      <c r="B3" s="4" t="s">
        <v>383</v>
      </c>
    </row>
    <row r="4" spans="1:2" ht="24.95" customHeight="1" x14ac:dyDescent="0.25">
      <c r="A4" s="3">
        <v>2</v>
      </c>
      <c r="B4" s="4" t="s">
        <v>384</v>
      </c>
    </row>
    <row r="5" spans="1:2" ht="24.95" customHeight="1" x14ac:dyDescent="0.25">
      <c r="A5" s="3">
        <v>3</v>
      </c>
      <c r="B5" s="4" t="s">
        <v>385</v>
      </c>
    </row>
    <row r="6" spans="1:2" ht="24.95" customHeight="1" x14ac:dyDescent="0.25">
      <c r="A6" s="3">
        <v>4</v>
      </c>
      <c r="B6" s="4" t="s">
        <v>386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DCCC-C08C-4BB2-907D-B892FE9397A4}">
  <dimension ref="A1:B6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387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3">
        <v>1</v>
      </c>
      <c r="B3" s="4" t="s">
        <v>388</v>
      </c>
    </row>
    <row r="4" spans="1:2" ht="24.95" customHeight="1" x14ac:dyDescent="0.25">
      <c r="A4" s="3">
        <v>2</v>
      </c>
      <c r="B4" s="4" t="s">
        <v>389</v>
      </c>
    </row>
    <row r="5" spans="1:2" ht="24.95" customHeight="1" x14ac:dyDescent="0.25">
      <c r="A5" s="3">
        <v>3</v>
      </c>
      <c r="B5" s="4" t="s">
        <v>386</v>
      </c>
    </row>
    <row r="6" spans="1:2" ht="24.95" customHeight="1" x14ac:dyDescent="0.25">
      <c r="A6" s="3">
        <v>4</v>
      </c>
      <c r="B6" s="4" t="s">
        <v>390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3C3B-7ACC-41D7-8236-F0BC570BBCC8}">
  <dimension ref="A1:B9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391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3">
        <v>1</v>
      </c>
      <c r="B3" s="4" t="s">
        <v>388</v>
      </c>
    </row>
    <row r="4" spans="1:2" ht="24.95" customHeight="1" x14ac:dyDescent="0.25">
      <c r="A4" s="3">
        <v>2</v>
      </c>
      <c r="B4" s="4" t="s">
        <v>384</v>
      </c>
    </row>
    <row r="5" spans="1:2" ht="24.95" customHeight="1" x14ac:dyDescent="0.25">
      <c r="A5" s="3">
        <v>3</v>
      </c>
      <c r="B5" s="4" t="s">
        <v>392</v>
      </c>
    </row>
    <row r="6" spans="1:2" ht="24.95" customHeight="1" x14ac:dyDescent="0.25">
      <c r="A6" s="3">
        <v>4</v>
      </c>
      <c r="B6" s="4" t="s">
        <v>393</v>
      </c>
    </row>
    <row r="7" spans="1:2" ht="24.95" customHeight="1" x14ac:dyDescent="0.25">
      <c r="A7" s="3">
        <v>5</v>
      </c>
      <c r="B7" s="4" t="s">
        <v>394</v>
      </c>
    </row>
    <row r="8" spans="1:2" ht="24.95" customHeight="1" x14ac:dyDescent="0.25">
      <c r="A8" s="3">
        <v>6</v>
      </c>
      <c r="B8" s="4" t="s">
        <v>395</v>
      </c>
    </row>
    <row r="9" spans="1:2" ht="24.95" customHeight="1" x14ac:dyDescent="0.25">
      <c r="A9" s="3">
        <v>7</v>
      </c>
      <c r="B9" s="4" t="s">
        <v>521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FCD2-E144-4482-9F92-D32EC101F7C0}">
  <dimension ref="A1:B14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396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397</v>
      </c>
      <c r="B3" s="159"/>
    </row>
    <row r="4" spans="1:2" ht="24.95" customHeight="1" x14ac:dyDescent="0.25">
      <c r="A4" s="3" t="s">
        <v>195</v>
      </c>
      <c r="B4" s="6" t="s">
        <v>398</v>
      </c>
    </row>
    <row r="5" spans="1:2" ht="24.95" customHeight="1" x14ac:dyDescent="0.25">
      <c r="A5" s="3" t="s">
        <v>197</v>
      </c>
      <c r="B5" s="6" t="s">
        <v>399</v>
      </c>
    </row>
    <row r="6" spans="1:2" ht="9.9499999999999993" customHeight="1" x14ac:dyDescent="0.25">
      <c r="A6" s="7"/>
      <c r="B6" s="7"/>
    </row>
    <row r="7" spans="1:2" ht="24.95" customHeight="1" x14ac:dyDescent="0.25">
      <c r="A7" s="158" t="s">
        <v>400</v>
      </c>
      <c r="B7" s="159"/>
    </row>
    <row r="8" spans="1:2" ht="24.95" customHeight="1" x14ac:dyDescent="0.25">
      <c r="A8" s="3" t="s">
        <v>206</v>
      </c>
      <c r="B8" s="6" t="s">
        <v>401</v>
      </c>
    </row>
    <row r="9" spans="1:2" ht="24.95" customHeight="1" x14ac:dyDescent="0.25">
      <c r="A9" s="3" t="s">
        <v>208</v>
      </c>
      <c r="B9" s="6" t="s">
        <v>402</v>
      </c>
    </row>
    <row r="10" spans="1:2" ht="9.9499999999999993" customHeight="1" x14ac:dyDescent="0.25">
      <c r="A10" s="7"/>
      <c r="B10" s="7"/>
    </row>
    <row r="11" spans="1:2" ht="24.95" customHeight="1" x14ac:dyDescent="0.25">
      <c r="A11" s="158" t="s">
        <v>403</v>
      </c>
      <c r="B11" s="159"/>
    </row>
    <row r="12" spans="1:2" ht="24.95" customHeight="1" x14ac:dyDescent="0.25">
      <c r="A12" s="3" t="s">
        <v>233</v>
      </c>
      <c r="B12" s="6" t="s">
        <v>404</v>
      </c>
    </row>
    <row r="13" spans="1:2" ht="24.95" customHeight="1" x14ac:dyDescent="0.25">
      <c r="A13" s="3" t="s">
        <v>235</v>
      </c>
      <c r="B13" s="6" t="s">
        <v>405</v>
      </c>
    </row>
    <row r="14" spans="1:2" ht="9.9499999999999993" customHeight="1" x14ac:dyDescent="0.25">
      <c r="A14" s="7"/>
      <c r="B14" s="7"/>
    </row>
  </sheetData>
  <mergeCells count="4">
    <mergeCell ref="A1:B1"/>
    <mergeCell ref="A11:B11"/>
    <mergeCell ref="A7:B7"/>
    <mergeCell ref="A3:B3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591C-A64C-4577-A6F1-824497230A57}">
  <dimension ref="A1:B23"/>
  <sheetViews>
    <sheetView workbookViewId="0">
      <selection activeCell="J25" sqref="J25"/>
    </sheetView>
  </sheetViews>
  <sheetFormatPr baseColWidth="10" defaultColWidth="11.42578125" defaultRowHeight="24.95" customHeight="1" x14ac:dyDescent="0.25"/>
  <cols>
    <col min="2" max="2" width="72.42578125" customWidth="1"/>
  </cols>
  <sheetData>
    <row r="1" spans="1:2" ht="24.95" customHeight="1" x14ac:dyDescent="0.25">
      <c r="A1" s="155" t="s">
        <v>406</v>
      </c>
      <c r="B1" s="155"/>
    </row>
    <row r="2" spans="1:2" ht="24.95" customHeight="1" x14ac:dyDescent="0.25">
      <c r="A2" s="5" t="s">
        <v>181</v>
      </c>
      <c r="B2" s="5" t="s">
        <v>407</v>
      </c>
    </row>
    <row r="3" spans="1:2" ht="24.95" customHeight="1" x14ac:dyDescent="0.25">
      <c r="A3" s="158" t="s">
        <v>408</v>
      </c>
      <c r="B3" s="159"/>
    </row>
    <row r="4" spans="1:2" ht="24.95" customHeight="1" x14ac:dyDescent="0.25">
      <c r="A4" s="3" t="s">
        <v>206</v>
      </c>
      <c r="B4" s="6" t="s">
        <v>409</v>
      </c>
    </row>
    <row r="5" spans="1:2" ht="9.9499999999999993" customHeight="1" x14ac:dyDescent="0.25">
      <c r="A5" s="7"/>
      <c r="B5" s="7"/>
    </row>
    <row r="6" spans="1:2" ht="24.95" customHeight="1" x14ac:dyDescent="0.25">
      <c r="A6" s="158" t="s">
        <v>410</v>
      </c>
      <c r="B6" s="159"/>
    </row>
    <row r="7" spans="1:2" ht="24.95" customHeight="1" x14ac:dyDescent="0.25">
      <c r="A7" s="3" t="s">
        <v>233</v>
      </c>
      <c r="B7" s="6" t="s">
        <v>411</v>
      </c>
    </row>
    <row r="8" spans="1:2" ht="32.25" customHeight="1" x14ac:dyDescent="0.25">
      <c r="A8" s="3" t="s">
        <v>235</v>
      </c>
      <c r="B8" s="12" t="s">
        <v>412</v>
      </c>
    </row>
    <row r="9" spans="1:2" ht="9.9499999999999993" customHeight="1" x14ac:dyDescent="0.25">
      <c r="A9" s="7"/>
      <c r="B9" s="7"/>
    </row>
    <row r="10" spans="1:2" ht="24.95" customHeight="1" x14ac:dyDescent="0.25">
      <c r="A10" s="5" t="s">
        <v>181</v>
      </c>
      <c r="B10" s="5" t="s">
        <v>413</v>
      </c>
    </row>
    <row r="11" spans="1:2" ht="24.95" customHeight="1" x14ac:dyDescent="0.25">
      <c r="A11" s="158" t="s">
        <v>414</v>
      </c>
      <c r="B11" s="159"/>
    </row>
    <row r="12" spans="1:2" ht="24.95" customHeight="1" x14ac:dyDescent="0.25">
      <c r="A12" s="160" t="s">
        <v>415</v>
      </c>
      <c r="B12" s="161"/>
    </row>
    <row r="13" spans="1:2" ht="24.95" customHeight="1" x14ac:dyDescent="0.25">
      <c r="A13" s="3" t="s">
        <v>206</v>
      </c>
      <c r="B13" s="6" t="s">
        <v>416</v>
      </c>
    </row>
    <row r="14" spans="1:2" ht="24.95" customHeight="1" x14ac:dyDescent="0.25">
      <c r="A14" s="160" t="s">
        <v>417</v>
      </c>
      <c r="B14" s="161"/>
    </row>
    <row r="15" spans="1:2" ht="24.95" customHeight="1" x14ac:dyDescent="0.25">
      <c r="A15" s="3" t="s">
        <v>224</v>
      </c>
      <c r="B15" s="6" t="s">
        <v>418</v>
      </c>
    </row>
    <row r="16" spans="1:2" ht="24.95" customHeight="1" x14ac:dyDescent="0.25">
      <c r="A16" s="3" t="s">
        <v>226</v>
      </c>
      <c r="B16" s="6" t="s">
        <v>419</v>
      </c>
    </row>
    <row r="17" spans="1:2" ht="24.95" customHeight="1" x14ac:dyDescent="0.25">
      <c r="A17" s="160" t="s">
        <v>420</v>
      </c>
      <c r="B17" s="161"/>
    </row>
    <row r="18" spans="1:2" ht="24.95" customHeight="1" x14ac:dyDescent="0.25">
      <c r="A18" s="3" t="s">
        <v>230</v>
      </c>
      <c r="B18" s="6" t="s">
        <v>421</v>
      </c>
    </row>
    <row r="19" spans="1:2" ht="9.9499999999999993" customHeight="1" x14ac:dyDescent="0.25">
      <c r="A19" s="7"/>
      <c r="B19" s="7"/>
    </row>
    <row r="20" spans="1:2" ht="24.95" customHeight="1" x14ac:dyDescent="0.25">
      <c r="A20" s="158" t="s">
        <v>422</v>
      </c>
      <c r="B20" s="159"/>
    </row>
    <row r="21" spans="1:2" ht="24.95" customHeight="1" x14ac:dyDescent="0.25">
      <c r="A21" s="3" t="s">
        <v>233</v>
      </c>
      <c r="B21" s="6" t="s">
        <v>423</v>
      </c>
    </row>
    <row r="22" spans="1:2" ht="24.95" customHeight="1" x14ac:dyDescent="0.25">
      <c r="A22" s="3" t="s">
        <v>235</v>
      </c>
      <c r="B22" s="6" t="s">
        <v>424</v>
      </c>
    </row>
    <row r="23" spans="1:2" ht="24.95" customHeight="1" x14ac:dyDescent="0.25">
      <c r="A23" s="3" t="s">
        <v>237</v>
      </c>
      <c r="B23" s="6" t="s">
        <v>425</v>
      </c>
    </row>
  </sheetData>
  <mergeCells count="8">
    <mergeCell ref="A1:B1"/>
    <mergeCell ref="A20:B20"/>
    <mergeCell ref="A11:B11"/>
    <mergeCell ref="A3:B3"/>
    <mergeCell ref="A6:B6"/>
    <mergeCell ref="A17:B17"/>
    <mergeCell ref="A14:B14"/>
    <mergeCell ref="A12:B12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754D-DB65-4DA8-91FA-68542CB8772E}">
  <dimension ref="A1:B11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426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3">
        <v>1</v>
      </c>
      <c r="B3" s="4" t="s">
        <v>427</v>
      </c>
    </row>
    <row r="4" spans="1:2" ht="24.95" customHeight="1" x14ac:dyDescent="0.25">
      <c r="A4" s="3">
        <v>2</v>
      </c>
      <c r="B4" s="4" t="s">
        <v>4</v>
      </c>
    </row>
    <row r="5" spans="1:2" ht="24.95" customHeight="1" x14ac:dyDescent="0.25">
      <c r="A5" s="3">
        <v>3</v>
      </c>
      <c r="B5" s="4" t="s">
        <v>428</v>
      </c>
    </row>
    <row r="6" spans="1:2" ht="24.95" customHeight="1" x14ac:dyDescent="0.25">
      <c r="A6" s="3">
        <v>4</v>
      </c>
      <c r="B6" s="4" t="s">
        <v>429</v>
      </c>
    </row>
    <row r="7" spans="1:2" ht="24.95" customHeight="1" x14ac:dyDescent="0.25">
      <c r="A7" s="3">
        <v>5</v>
      </c>
      <c r="B7" s="4" t="s">
        <v>430</v>
      </c>
    </row>
    <row r="8" spans="1:2" ht="24.95" customHeight="1" x14ac:dyDescent="0.25">
      <c r="A8" s="3">
        <v>6</v>
      </c>
      <c r="B8" s="4" t="s">
        <v>431</v>
      </c>
    </row>
    <row r="9" spans="1:2" ht="24.95" customHeight="1" x14ac:dyDescent="0.25">
      <c r="A9" s="3">
        <v>7</v>
      </c>
      <c r="B9" s="4" t="s">
        <v>432</v>
      </c>
    </row>
    <row r="10" spans="1:2" ht="24.95" customHeight="1" x14ac:dyDescent="0.25">
      <c r="A10" s="3">
        <v>8</v>
      </c>
      <c r="B10" s="4" t="s">
        <v>433</v>
      </c>
    </row>
    <row r="11" spans="1:2" ht="24.95" customHeight="1" x14ac:dyDescent="0.25">
      <c r="A11" s="3">
        <v>9</v>
      </c>
      <c r="B11" s="4" t="s">
        <v>434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2ABE-3CC1-462D-A23C-3DC1EBEC413B}">
  <dimension ref="A1:B9"/>
  <sheetViews>
    <sheetView workbookViewId="0">
      <selection activeCell="H11" sqref="H1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435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3">
        <v>1</v>
      </c>
      <c r="B3" s="4" t="s">
        <v>436</v>
      </c>
    </row>
    <row r="4" spans="1:2" ht="24.95" customHeight="1" x14ac:dyDescent="0.25">
      <c r="A4" s="3">
        <v>2</v>
      </c>
      <c r="B4" s="4" t="s">
        <v>437</v>
      </c>
    </row>
    <row r="5" spans="1:2" ht="24.95" customHeight="1" x14ac:dyDescent="0.25">
      <c r="A5" s="3">
        <v>3</v>
      </c>
      <c r="B5" s="4" t="s">
        <v>438</v>
      </c>
    </row>
    <row r="6" spans="1:2" ht="24.95" customHeight="1" x14ac:dyDescent="0.25">
      <c r="A6" s="3">
        <v>4</v>
      </c>
      <c r="B6" s="4" t="s">
        <v>439</v>
      </c>
    </row>
    <row r="7" spans="1:2" ht="24.95" customHeight="1" x14ac:dyDescent="0.25">
      <c r="A7" s="3">
        <v>5</v>
      </c>
      <c r="B7" s="4" t="s">
        <v>522</v>
      </c>
    </row>
    <row r="8" spans="1:2" ht="24.95" customHeight="1" x14ac:dyDescent="0.25">
      <c r="A8" s="3">
        <v>6</v>
      </c>
      <c r="B8" s="4"/>
    </row>
    <row r="9" spans="1:2" ht="24.95" customHeight="1" x14ac:dyDescent="0.25">
      <c r="A9" s="3">
        <v>7</v>
      </c>
      <c r="B9" s="4"/>
    </row>
  </sheetData>
  <mergeCells count="1">
    <mergeCell ref="A1: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EEE5-639C-43B1-BE4C-CEEF78CF27D3}">
  <dimension ref="A1:B7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440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3">
        <v>1</v>
      </c>
      <c r="B3" s="4" t="s">
        <v>441</v>
      </c>
    </row>
    <row r="4" spans="1:2" ht="24.95" customHeight="1" x14ac:dyDescent="0.25">
      <c r="A4" s="3">
        <v>2</v>
      </c>
      <c r="B4" s="4" t="s">
        <v>442</v>
      </c>
    </row>
    <row r="5" spans="1:2" ht="24.95" customHeight="1" x14ac:dyDescent="0.25">
      <c r="A5" s="3">
        <v>3</v>
      </c>
      <c r="B5" s="4" t="s">
        <v>443</v>
      </c>
    </row>
    <row r="6" spans="1:2" ht="24.95" customHeight="1" x14ac:dyDescent="0.25">
      <c r="A6" s="3">
        <v>4</v>
      </c>
      <c r="B6" s="4" t="s">
        <v>444</v>
      </c>
    </row>
    <row r="7" spans="1:2" ht="24.95" customHeight="1" x14ac:dyDescent="0.25">
      <c r="A7" s="3">
        <v>5</v>
      </c>
      <c r="B7" s="4" t="s">
        <v>445</v>
      </c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C277-1C44-48E1-BDD2-B833C3223A68}">
  <dimension ref="A1:B10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446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3">
        <v>1</v>
      </c>
      <c r="B3" s="4" t="s">
        <v>447</v>
      </c>
    </row>
    <row r="4" spans="1:2" ht="24.95" customHeight="1" x14ac:dyDescent="0.25">
      <c r="A4" s="3">
        <v>2</v>
      </c>
      <c r="B4" s="4" t="s">
        <v>448</v>
      </c>
    </row>
    <row r="5" spans="1:2" ht="24.95" customHeight="1" x14ac:dyDescent="0.25">
      <c r="A5" s="3">
        <v>3</v>
      </c>
      <c r="B5" s="4" t="s">
        <v>449</v>
      </c>
    </row>
    <row r="6" spans="1:2" ht="24.95" customHeight="1" x14ac:dyDescent="0.25">
      <c r="A6" s="3">
        <v>4</v>
      </c>
      <c r="B6" s="4" t="s">
        <v>450</v>
      </c>
    </row>
    <row r="7" spans="1:2" ht="24.95" customHeight="1" x14ac:dyDescent="0.25">
      <c r="A7" s="3">
        <v>5</v>
      </c>
      <c r="B7" s="4" t="s">
        <v>451</v>
      </c>
    </row>
    <row r="8" spans="1:2" ht="24.95" customHeight="1" x14ac:dyDescent="0.25">
      <c r="A8" s="3">
        <v>6</v>
      </c>
      <c r="B8" s="4" t="s">
        <v>452</v>
      </c>
    </row>
    <row r="9" spans="1:2" ht="24.95" customHeight="1" x14ac:dyDescent="0.25">
      <c r="A9" s="3">
        <v>7</v>
      </c>
      <c r="B9" s="4" t="s">
        <v>453</v>
      </c>
    </row>
    <row r="10" spans="1:2" ht="24.95" customHeight="1" x14ac:dyDescent="0.25">
      <c r="A10" s="3">
        <v>8</v>
      </c>
      <c r="B10" s="4" t="s">
        <v>454</v>
      </c>
    </row>
  </sheetData>
  <mergeCells count="1">
    <mergeCell ref="A1: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8839-0FB6-44CE-A676-3AB3C38CC537}">
  <dimension ref="A1:B11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149.7109375" bestFit="1" customWidth="1"/>
  </cols>
  <sheetData>
    <row r="1" spans="1:2" ht="24.95" customHeight="1" x14ac:dyDescent="0.25">
      <c r="A1" s="155" t="s">
        <v>455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456</v>
      </c>
      <c r="B3" s="159"/>
    </row>
    <row r="4" spans="1:2" ht="24.95" customHeight="1" x14ac:dyDescent="0.25">
      <c r="A4" s="160" t="s">
        <v>457</v>
      </c>
      <c r="B4" s="161"/>
    </row>
    <row r="5" spans="1:2" ht="24.95" customHeight="1" x14ac:dyDescent="0.25">
      <c r="A5" s="3" t="s">
        <v>195</v>
      </c>
      <c r="B5" s="6" t="s">
        <v>458</v>
      </c>
    </row>
    <row r="6" spans="1:2" ht="24.95" customHeight="1" x14ac:dyDescent="0.25">
      <c r="A6" s="3" t="s">
        <v>197</v>
      </c>
      <c r="B6" s="6" t="s">
        <v>459</v>
      </c>
    </row>
    <row r="7" spans="1:2" ht="24.95" customHeight="1" x14ac:dyDescent="0.25">
      <c r="A7" s="160" t="s">
        <v>460</v>
      </c>
      <c r="B7" s="161"/>
    </row>
    <row r="8" spans="1:2" ht="24.95" customHeight="1" x14ac:dyDescent="0.25">
      <c r="A8" s="3" t="s">
        <v>199</v>
      </c>
      <c r="B8" s="6" t="s">
        <v>461</v>
      </c>
    </row>
    <row r="9" spans="1:2" ht="24.95" customHeight="1" x14ac:dyDescent="0.25">
      <c r="A9" s="158" t="s">
        <v>462</v>
      </c>
      <c r="B9" s="159"/>
    </row>
    <row r="10" spans="1:2" ht="45.75" customHeight="1" x14ac:dyDescent="0.25">
      <c r="A10" s="3" t="s">
        <v>206</v>
      </c>
      <c r="B10" s="12" t="s">
        <v>463</v>
      </c>
    </row>
    <row r="11" spans="1:2" ht="69.75" customHeight="1" x14ac:dyDescent="0.25">
      <c r="A11" s="3" t="s">
        <v>208</v>
      </c>
      <c r="B11" s="12" t="s">
        <v>464</v>
      </c>
    </row>
  </sheetData>
  <mergeCells count="5">
    <mergeCell ref="A1:B1"/>
    <mergeCell ref="A4:B4"/>
    <mergeCell ref="A7:B7"/>
    <mergeCell ref="A3:B3"/>
    <mergeCell ref="A9:B9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5A2A-3231-47C6-B25D-A88DF35C2274}">
  <dimension ref="A1:B23"/>
  <sheetViews>
    <sheetView workbookViewId="0">
      <selection sqref="A1:B1"/>
    </sheetView>
  </sheetViews>
  <sheetFormatPr baseColWidth="10" defaultColWidth="11.42578125" defaultRowHeight="24.95" customHeight="1" x14ac:dyDescent="0.25"/>
  <cols>
    <col min="2" max="2" width="68.85546875" customWidth="1"/>
  </cols>
  <sheetData>
    <row r="1" spans="1:2" ht="24.95" customHeight="1" x14ac:dyDescent="0.25">
      <c r="A1" s="155" t="s">
        <v>465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466</v>
      </c>
      <c r="B3" s="159"/>
    </row>
    <row r="4" spans="1:2" ht="24.95" customHeight="1" x14ac:dyDescent="0.25">
      <c r="A4" s="3" t="s">
        <v>195</v>
      </c>
      <c r="B4" s="6" t="s">
        <v>467</v>
      </c>
    </row>
    <row r="5" spans="1:2" ht="24.95" customHeight="1" x14ac:dyDescent="0.25">
      <c r="A5" s="3" t="s">
        <v>197</v>
      </c>
      <c r="B5" s="6" t="s">
        <v>468</v>
      </c>
    </row>
    <row r="6" spans="1:2" ht="24.95" customHeight="1" x14ac:dyDescent="0.25">
      <c r="A6" s="3" t="s">
        <v>199</v>
      </c>
      <c r="B6" s="6" t="s">
        <v>469</v>
      </c>
    </row>
    <row r="7" spans="1:2" ht="9.9499999999999993" customHeight="1" x14ac:dyDescent="0.25">
      <c r="A7" s="7"/>
      <c r="B7" s="7"/>
    </row>
    <row r="8" spans="1:2" ht="24.95" customHeight="1" x14ac:dyDescent="0.25">
      <c r="A8" s="158" t="s">
        <v>470</v>
      </c>
      <c r="B8" s="159"/>
    </row>
    <row r="9" spans="1:2" ht="24.95" customHeight="1" x14ac:dyDescent="0.25">
      <c r="A9" s="3" t="s">
        <v>206</v>
      </c>
      <c r="B9" s="6" t="s">
        <v>471</v>
      </c>
    </row>
    <row r="10" spans="1:2" ht="24.95" customHeight="1" x14ac:dyDescent="0.25">
      <c r="A10" s="3" t="s">
        <v>208</v>
      </c>
      <c r="B10" s="6" t="s">
        <v>472</v>
      </c>
    </row>
    <row r="11" spans="1:2" ht="9.9499999999999993" customHeight="1" x14ac:dyDescent="0.25">
      <c r="A11" s="7"/>
      <c r="B11" s="7"/>
    </row>
    <row r="12" spans="1:2" ht="24.95" customHeight="1" x14ac:dyDescent="0.25">
      <c r="A12" s="158" t="s">
        <v>473</v>
      </c>
      <c r="B12" s="159"/>
    </row>
    <row r="13" spans="1:2" ht="24.95" customHeight="1" x14ac:dyDescent="0.25">
      <c r="A13" s="3" t="s">
        <v>261</v>
      </c>
      <c r="B13" s="6" t="s">
        <v>474</v>
      </c>
    </row>
    <row r="14" spans="1:2" ht="24.95" customHeight="1" x14ac:dyDescent="0.25">
      <c r="A14" s="3" t="s">
        <v>263</v>
      </c>
      <c r="B14" s="6" t="s">
        <v>475</v>
      </c>
    </row>
    <row r="15" spans="1:2" ht="24.95" customHeight="1" x14ac:dyDescent="0.25">
      <c r="A15" s="3" t="s">
        <v>265</v>
      </c>
      <c r="B15" s="6" t="s">
        <v>476</v>
      </c>
    </row>
    <row r="16" spans="1:2" ht="24.95" customHeight="1" x14ac:dyDescent="0.25">
      <c r="A16" s="3" t="s">
        <v>267</v>
      </c>
      <c r="B16" s="6" t="s">
        <v>477</v>
      </c>
    </row>
    <row r="17" spans="1:2" ht="9.9499999999999993" customHeight="1" x14ac:dyDescent="0.25">
      <c r="A17" s="7"/>
      <c r="B17" s="7"/>
    </row>
    <row r="18" spans="1:2" ht="24.95" customHeight="1" x14ac:dyDescent="0.25">
      <c r="A18" s="158" t="s">
        <v>478</v>
      </c>
      <c r="B18" s="159"/>
    </row>
    <row r="19" spans="1:2" ht="24.95" customHeight="1" x14ac:dyDescent="0.25">
      <c r="A19" s="3" t="s">
        <v>270</v>
      </c>
      <c r="B19" s="6" t="s">
        <v>479</v>
      </c>
    </row>
    <row r="20" spans="1:2" ht="24.95" customHeight="1" x14ac:dyDescent="0.25">
      <c r="A20" s="3" t="s">
        <v>295</v>
      </c>
      <c r="B20" s="6" t="s">
        <v>480</v>
      </c>
    </row>
    <row r="21" spans="1:2" ht="24.95" customHeight="1" x14ac:dyDescent="0.25">
      <c r="A21" s="3" t="s">
        <v>297</v>
      </c>
      <c r="B21" s="6" t="s">
        <v>481</v>
      </c>
    </row>
    <row r="22" spans="1:2" ht="24.95" customHeight="1" x14ac:dyDescent="0.25">
      <c r="A22" s="3" t="s">
        <v>482</v>
      </c>
      <c r="B22" s="6" t="s">
        <v>483</v>
      </c>
    </row>
    <row r="23" spans="1:2" ht="24.95" customHeight="1" x14ac:dyDescent="0.25">
      <c r="A23" s="3" t="s">
        <v>484</v>
      </c>
      <c r="B23" s="6" t="s">
        <v>485</v>
      </c>
    </row>
  </sheetData>
  <mergeCells count="5">
    <mergeCell ref="A18:B18"/>
    <mergeCell ref="A1:B1"/>
    <mergeCell ref="A3:B3"/>
    <mergeCell ref="A8:B8"/>
    <mergeCell ref="A12:B12"/>
  </mergeCells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5F3F-A42E-4F3B-A872-0FDFE971AF59}">
  <dimension ref="A1:B39"/>
  <sheetViews>
    <sheetView workbookViewId="0">
      <selection activeCell="F6" sqref="F6"/>
    </sheetView>
  </sheetViews>
  <sheetFormatPr baseColWidth="10" defaultColWidth="11.42578125" defaultRowHeight="24.95" customHeight="1" x14ac:dyDescent="0.25"/>
  <cols>
    <col min="2" max="2" width="63.85546875" customWidth="1"/>
  </cols>
  <sheetData>
    <row r="1" spans="1:2" ht="24.95" customHeight="1" x14ac:dyDescent="0.25">
      <c r="A1" s="155" t="s">
        <v>486</v>
      </c>
      <c r="B1" s="155"/>
    </row>
    <row r="2" spans="1:2" ht="24.95" customHeight="1" x14ac:dyDescent="0.25">
      <c r="A2" s="5" t="s">
        <v>181</v>
      </c>
      <c r="B2" s="5" t="s">
        <v>192</v>
      </c>
    </row>
    <row r="3" spans="1:2" ht="24.95" customHeight="1" x14ac:dyDescent="0.25">
      <c r="A3" s="158" t="s">
        <v>487</v>
      </c>
      <c r="B3" s="159"/>
    </row>
    <row r="4" spans="1:2" ht="24.95" customHeight="1" x14ac:dyDescent="0.25">
      <c r="A4" s="3" t="s">
        <v>195</v>
      </c>
      <c r="B4" s="6" t="s">
        <v>488</v>
      </c>
    </row>
    <row r="5" spans="1:2" ht="9.9499999999999993" customHeight="1" x14ac:dyDescent="0.25">
      <c r="A5" s="7"/>
      <c r="B5" s="7"/>
    </row>
    <row r="6" spans="1:2" ht="24.95" customHeight="1" x14ac:dyDescent="0.25">
      <c r="A6" s="158" t="s">
        <v>489</v>
      </c>
      <c r="B6" s="159"/>
    </row>
    <row r="7" spans="1:2" ht="24.95" customHeight="1" x14ac:dyDescent="0.25">
      <c r="A7" s="3" t="s">
        <v>206</v>
      </c>
      <c r="B7" s="6" t="s">
        <v>490</v>
      </c>
    </row>
    <row r="8" spans="1:2" ht="24.95" customHeight="1" x14ac:dyDescent="0.25">
      <c r="A8" s="3" t="s">
        <v>208</v>
      </c>
      <c r="B8" s="6" t="s">
        <v>491</v>
      </c>
    </row>
    <row r="9" spans="1:2" ht="24.95" customHeight="1" x14ac:dyDescent="0.25">
      <c r="A9" s="3" t="s">
        <v>221</v>
      </c>
      <c r="B9" s="6" t="s">
        <v>492</v>
      </c>
    </row>
    <row r="10" spans="1:2" ht="24.95" customHeight="1" x14ac:dyDescent="0.25">
      <c r="A10" s="3" t="s">
        <v>224</v>
      </c>
      <c r="B10" s="6" t="s">
        <v>493</v>
      </c>
    </row>
    <row r="11" spans="1:2" ht="24.95" customHeight="1" x14ac:dyDescent="0.25">
      <c r="A11" s="3" t="s">
        <v>226</v>
      </c>
      <c r="B11" s="6" t="s">
        <v>494</v>
      </c>
    </row>
    <row r="12" spans="1:2" ht="31.5" customHeight="1" x14ac:dyDescent="0.25">
      <c r="A12" s="3" t="s">
        <v>228</v>
      </c>
      <c r="B12" s="12" t="s">
        <v>495</v>
      </c>
    </row>
    <row r="13" spans="1:2" ht="24.95" customHeight="1" x14ac:dyDescent="0.25">
      <c r="A13" s="3" t="s">
        <v>230</v>
      </c>
      <c r="B13" s="6" t="s">
        <v>496</v>
      </c>
    </row>
    <row r="14" spans="1:2" ht="9.9499999999999993" customHeight="1" x14ac:dyDescent="0.25">
      <c r="A14" s="7"/>
      <c r="B14" s="7"/>
    </row>
    <row r="15" spans="1:2" ht="24.95" customHeight="1" x14ac:dyDescent="0.25">
      <c r="A15" s="158" t="s">
        <v>497</v>
      </c>
      <c r="B15" s="159"/>
    </row>
    <row r="16" spans="1:2" ht="24.95" customHeight="1" x14ac:dyDescent="0.25">
      <c r="A16" s="3" t="s">
        <v>233</v>
      </c>
      <c r="B16" s="6" t="s">
        <v>498</v>
      </c>
    </row>
    <row r="17" spans="1:2" ht="24.95" customHeight="1" x14ac:dyDescent="0.25">
      <c r="A17" s="3" t="s">
        <v>235</v>
      </c>
      <c r="B17" s="6" t="s">
        <v>499</v>
      </c>
    </row>
    <row r="18" spans="1:2" ht="24.95" customHeight="1" x14ac:dyDescent="0.25">
      <c r="A18" s="3" t="s">
        <v>237</v>
      </c>
      <c r="B18" s="6" t="s">
        <v>500</v>
      </c>
    </row>
    <row r="19" spans="1:2" ht="24.95" customHeight="1" x14ac:dyDescent="0.25">
      <c r="A19" s="3" t="s">
        <v>239</v>
      </c>
      <c r="B19" s="6" t="s">
        <v>501</v>
      </c>
    </row>
    <row r="20" spans="1:2" ht="24.95" customHeight="1" x14ac:dyDescent="0.25">
      <c r="A20" s="3" t="s">
        <v>241</v>
      </c>
      <c r="B20" s="6" t="s">
        <v>502</v>
      </c>
    </row>
    <row r="21" spans="1:2" ht="9.9499999999999993" customHeight="1" x14ac:dyDescent="0.25">
      <c r="A21" s="7"/>
      <c r="B21" s="7"/>
    </row>
    <row r="22" spans="1:2" ht="24.95" customHeight="1" x14ac:dyDescent="0.25">
      <c r="A22" s="158" t="s">
        <v>503</v>
      </c>
      <c r="B22" s="159"/>
    </row>
    <row r="23" spans="1:2" ht="24.95" customHeight="1" x14ac:dyDescent="0.25">
      <c r="A23" s="3" t="s">
        <v>261</v>
      </c>
      <c r="B23" s="6" t="s">
        <v>504</v>
      </c>
    </row>
    <row r="24" spans="1:2" ht="24.95" customHeight="1" x14ac:dyDescent="0.25">
      <c r="A24" s="3" t="s">
        <v>263</v>
      </c>
      <c r="B24" s="6" t="s">
        <v>505</v>
      </c>
    </row>
    <row r="25" spans="1:2" ht="24.95" customHeight="1" x14ac:dyDescent="0.25">
      <c r="A25" s="3" t="s">
        <v>265</v>
      </c>
      <c r="B25" s="6" t="s">
        <v>506</v>
      </c>
    </row>
    <row r="26" spans="1:2" ht="24.95" customHeight="1" x14ac:dyDescent="0.25">
      <c r="A26" s="3" t="s">
        <v>267</v>
      </c>
      <c r="B26" s="6" t="s">
        <v>507</v>
      </c>
    </row>
    <row r="27" spans="1:2" ht="24.95" customHeight="1" x14ac:dyDescent="0.25">
      <c r="A27" s="3" t="s">
        <v>508</v>
      </c>
      <c r="B27" s="6" t="s">
        <v>509</v>
      </c>
    </row>
    <row r="28" spans="1:2" ht="9.9499999999999993" customHeight="1" x14ac:dyDescent="0.25">
      <c r="A28" s="7"/>
      <c r="B28" s="7"/>
    </row>
    <row r="29" spans="1:2" ht="24.95" customHeight="1" x14ac:dyDescent="0.25">
      <c r="A29" s="158" t="s">
        <v>510</v>
      </c>
      <c r="B29" s="159"/>
    </row>
    <row r="30" spans="1:2" ht="24.95" customHeight="1" x14ac:dyDescent="0.25">
      <c r="A30" s="3" t="s">
        <v>270</v>
      </c>
      <c r="B30" s="6" t="s">
        <v>511</v>
      </c>
    </row>
    <row r="31" spans="1:2" ht="24.95" customHeight="1" x14ac:dyDescent="0.25">
      <c r="A31" s="3" t="s">
        <v>295</v>
      </c>
      <c r="B31" s="6" t="s">
        <v>512</v>
      </c>
    </row>
    <row r="32" spans="1:2" ht="9.9499999999999993" customHeight="1" x14ac:dyDescent="0.25">
      <c r="A32" s="7"/>
      <c r="B32" s="7"/>
    </row>
    <row r="33" spans="1:2" ht="24.95" customHeight="1" x14ac:dyDescent="0.25">
      <c r="A33" s="158" t="s">
        <v>513</v>
      </c>
      <c r="B33" s="159"/>
    </row>
    <row r="34" spans="1:2" ht="24.95" customHeight="1" x14ac:dyDescent="0.25">
      <c r="A34" s="3" t="s">
        <v>273</v>
      </c>
      <c r="B34" s="6" t="s">
        <v>514</v>
      </c>
    </row>
    <row r="35" spans="1:2" ht="24.95" customHeight="1" x14ac:dyDescent="0.25">
      <c r="A35" s="3" t="s">
        <v>275</v>
      </c>
      <c r="B35" s="6" t="s">
        <v>515</v>
      </c>
    </row>
    <row r="36" spans="1:2" ht="24.95" customHeight="1" x14ac:dyDescent="0.25">
      <c r="A36" s="3" t="s">
        <v>277</v>
      </c>
      <c r="B36" s="6" t="s">
        <v>516</v>
      </c>
    </row>
    <row r="37" spans="1:2" ht="24.95" customHeight="1" x14ac:dyDescent="0.25">
      <c r="A37" s="3" t="s">
        <v>317</v>
      </c>
      <c r="B37" s="6" t="s">
        <v>517</v>
      </c>
    </row>
    <row r="38" spans="1:2" ht="24.95" customHeight="1" x14ac:dyDescent="0.25">
      <c r="A38" s="3" t="s">
        <v>518</v>
      </c>
      <c r="B38" s="6" t="s">
        <v>519</v>
      </c>
    </row>
    <row r="39" spans="1:2" ht="9.9499999999999993" customHeight="1" x14ac:dyDescent="0.25">
      <c r="A39" s="7"/>
      <c r="B39" s="7" t="s">
        <v>520</v>
      </c>
    </row>
  </sheetData>
  <mergeCells count="7">
    <mergeCell ref="A1:B1"/>
    <mergeCell ref="A33:B33"/>
    <mergeCell ref="A29:B29"/>
    <mergeCell ref="A22:B22"/>
    <mergeCell ref="A15:B15"/>
    <mergeCell ref="A6:B6"/>
    <mergeCell ref="A3:B3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6C21AF10AFF849919EFBE875DD17A7" ma:contentTypeVersion="24" ma:contentTypeDescription="Crée un document." ma:contentTypeScope="" ma:versionID="ac7deeb373c2f1cee05ece9eba13d8b3">
  <xsd:schema xmlns:xsd="http://www.w3.org/2001/XMLSchema" xmlns:xs="http://www.w3.org/2001/XMLSchema" xmlns:p="http://schemas.microsoft.com/office/2006/metadata/properties" xmlns:ns2="0fa0001d-c413-4ba0-97ae-daedfc5d4a19" xmlns:ns3="bb640d27-532d-4750-b911-c9ce6434f05c" targetNamespace="http://schemas.microsoft.com/office/2006/metadata/properties" ma:root="true" ma:fieldsID="0a3cd49d6a88d6f0e19d94c26b432fd5" ns2:_="" ns3:_="">
    <xsd:import namespace="0fa0001d-c413-4ba0-97ae-daedfc5d4a19"/>
    <xsd:import namespace="bb640d27-532d-4750-b911-c9ce6434f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G_x00e9_r_x00e9__x0020_par" minOccurs="0"/>
                <xsd:element ref="ns2:Date" minOccurs="0"/>
                <xsd:element ref="ns2:Agence" minOccurs="0"/>
                <xsd:element ref="ns2:Typ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0001d-c413-4ba0-97ae-daedfc5d4a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e1861995-e7af-4e7a-a39b-c35dcfeb1b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G_x00e9_r_x00e9__x0020_par" ma:index="24" nillable="true" ma:displayName="Géré par" ma:format="Dropdown" ma:internalName="G_x00e9_r_x00e9__x0020_par">
      <xsd:simpleType>
        <xsd:restriction base="dms:Text">
          <xsd:maxLength value="255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Agence" ma:index="26" nillable="true" ma:displayName="Agence" ma:format="Dropdown" ma:internalName="Agence">
      <xsd:simpleType>
        <xsd:restriction base="dms:Text">
          <xsd:maxLength value="255"/>
        </xsd:restriction>
      </xsd:simpleType>
    </xsd:element>
    <xsd:element name="Types" ma:index="27" nillable="true" ma:displayName="Types" ma:format="Dropdown" ma:internalName="Types">
      <xsd:simpleType>
        <xsd:restriction base="dms:Text">
          <xsd:maxLength value="255"/>
        </xsd:restriction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40d27-532d-4750-b911-c9ce6434f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24d7a9-111c-415c-84cd-676f4d288182}" ma:internalName="TaxCatchAll" ma:showField="CatchAllData" ma:web="bb640d27-532d-4750-b911-c9ce6434f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0fa0001d-c413-4ba0-97ae-daedfc5d4a19" xsi:nil="true"/>
    <G_x00e9_r_x00e9__x0020_par xmlns="0fa0001d-c413-4ba0-97ae-daedfc5d4a19" xsi:nil="true"/>
    <lcf76f155ced4ddcb4097134ff3c332f xmlns="0fa0001d-c413-4ba0-97ae-daedfc5d4a19">
      <Terms xmlns="http://schemas.microsoft.com/office/infopath/2007/PartnerControls"/>
    </lcf76f155ced4ddcb4097134ff3c332f>
    <Agence xmlns="0fa0001d-c413-4ba0-97ae-daedfc5d4a19" xsi:nil="true"/>
    <TaxCatchAll xmlns="bb640d27-532d-4750-b911-c9ce6434f05c" xsi:nil="true"/>
    <Types xmlns="0fa0001d-c413-4ba0-97ae-daedfc5d4a19" xsi:nil="true"/>
  </documentManagement>
</p:properties>
</file>

<file path=customXml/itemProps1.xml><?xml version="1.0" encoding="utf-8"?>
<ds:datastoreItem xmlns:ds="http://schemas.openxmlformats.org/officeDocument/2006/customXml" ds:itemID="{661538A4-91C4-4D0C-81F5-C68FD906A8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18CB30-5821-4A26-B7A0-F0363EC0ED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a0001d-c413-4ba0-97ae-daedfc5d4a19"/>
    <ds:schemaRef ds:uri="bb640d27-532d-4750-b911-c9ce6434f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C9299D-7336-4B77-9189-60DBC2B4A974}">
  <ds:schemaRefs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0fa0001d-c413-4ba0-97ae-daedfc5d4a19"/>
    <ds:schemaRef ds:uri="http://schemas.microsoft.com/office/infopath/2007/PartnerControls"/>
    <ds:schemaRef ds:uri="bb640d27-532d-4750-b911-c9ce6434f05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24</vt:i4>
      </vt:variant>
      <vt:variant>
        <vt:lpstr>Plages nommées</vt:lpstr>
      </vt:variant>
      <vt:variant>
        <vt:i4>28</vt:i4>
      </vt:variant>
    </vt:vector>
  </HeadingPairs>
  <TitlesOfParts>
    <vt:vector size="52" baseType="lpstr">
      <vt:lpstr>FICHE DE PREVENTION</vt:lpstr>
      <vt:lpstr>FORMULES</vt:lpstr>
      <vt:lpstr>LISTE LOTS</vt:lpstr>
      <vt:lpstr>LOT 1</vt:lpstr>
      <vt:lpstr>LOT 2</vt:lpstr>
      <vt:lpstr>LOT 3</vt:lpstr>
      <vt:lpstr>LOT 4</vt:lpstr>
      <vt:lpstr>LOT 5</vt:lpstr>
      <vt:lpstr>LOT 6</vt:lpstr>
      <vt:lpstr>LOT 7</vt:lpstr>
      <vt:lpstr>LOT 8</vt:lpstr>
      <vt:lpstr>LOT 9</vt:lpstr>
      <vt:lpstr>LOT 10</vt:lpstr>
      <vt:lpstr>LOT 11</vt:lpstr>
      <vt:lpstr>LOT 12</vt:lpstr>
      <vt:lpstr>LOT 13</vt:lpstr>
      <vt:lpstr>LOT 14</vt:lpstr>
      <vt:lpstr>LOT 15</vt:lpstr>
      <vt:lpstr>LOT 16</vt:lpstr>
      <vt:lpstr>LOT 17</vt:lpstr>
      <vt:lpstr>LOT 18</vt:lpstr>
      <vt:lpstr>LOT 19</vt:lpstr>
      <vt:lpstr>LOT 20</vt:lpstr>
      <vt:lpstr>LOT 21</vt:lpstr>
      <vt:lpstr>ASCENCEURS</vt:lpstr>
      <vt:lpstr>CARRELAGE_FAIENCE</vt:lpstr>
      <vt:lpstr>cb_ChuteHauteur</vt:lpstr>
      <vt:lpstr>cb_Echafaudages</vt:lpstr>
      <vt:lpstr>cb_GardeCorps</vt:lpstr>
      <vt:lpstr>cb_Harnais</vt:lpstr>
      <vt:lpstr>cb_ProcHauteur</vt:lpstr>
      <vt:lpstr>CHARGE_OPERATION</vt:lpstr>
      <vt:lpstr>CHARPENTE</vt:lpstr>
      <vt:lpstr>CHAUFFAGE</vt:lpstr>
      <vt:lpstr>COUVERTURE</vt:lpstr>
      <vt:lpstr>DEMOLITION</vt:lpstr>
      <vt:lpstr>DESAMIANTAGE</vt:lpstr>
      <vt:lpstr>DOUBLAGE_FAUX_PLAFOND_CLOISONS</vt:lpstr>
      <vt:lpstr>ELECTRICITE</vt:lpstr>
      <vt:lpstr>ESPACES_VERTS</vt:lpstr>
      <vt:lpstr>ETANCHEITE</vt:lpstr>
      <vt:lpstr>GROS_OEUVRE</vt:lpstr>
      <vt:lpstr>ISOLATION</vt:lpstr>
      <vt:lpstr>LOT</vt:lpstr>
      <vt:lpstr>MENUISERIES_EXTERIEURES</vt:lpstr>
      <vt:lpstr>MENUISERIES_INTERIEURES</vt:lpstr>
      <vt:lpstr>PEINTURE_REVETEMENTS_DE_SOL</vt:lpstr>
      <vt:lpstr>PLOMBERIE</vt:lpstr>
      <vt:lpstr>RAVALEMENT_ENDUIT</vt:lpstr>
      <vt:lpstr>SERRURERIE</vt:lpstr>
      <vt:lpstr>VENTILATION</vt:lpstr>
      <vt:lpstr>VOIRIES_RESEAUX_DIVERS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EMIE PATIGNY</dc:creator>
  <cp:keywords/>
  <dc:description/>
  <cp:lastModifiedBy>Laurence CHARBONNIER</cp:lastModifiedBy>
  <cp:revision/>
  <dcterms:created xsi:type="dcterms:W3CDTF">2025-05-16T11:36:10Z</dcterms:created>
  <dcterms:modified xsi:type="dcterms:W3CDTF">2026-09-18T08:40:30Z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0x010100AC6C21AF10AFF849919EFBE875DD17A7</vt:lpwstr>
  </property>
  <property fmtid="{D5CDD505-2E9C-101B-9397-08002B2CF9AE}" pid="3" name="MediaServiceImageTags">
    <vt:lpwstr/>
  </property>
  <property fmtid="{D5CDD505-2E9C-101B-9397-08002B2CF9AE}" pid="4" name="MSIP_Label_bb88328d-1296-4270-b00d-ecfae1f4c260_Enabled">
    <vt:lpwstr>true</vt:lpwstr>
  </property>
  <property fmtid="{D5CDD505-2E9C-101B-9397-08002B2CF9AE}" pid="5" name="MSIP_Label_bb88328d-1296-4270-b00d-ecfae1f4c260_SetDate">
    <vt:lpwstr>2025-11-25T16:34:47Z</vt:lpwstr>
  </property>
  <property fmtid="{D5CDD505-2E9C-101B-9397-08002B2CF9AE}" pid="6" name="MSIP_Label_bb88328d-1296-4270-b00d-ecfae1f4c260_Method">
    <vt:lpwstr>Standard</vt:lpwstr>
  </property>
  <property fmtid="{D5CDD505-2E9C-101B-9397-08002B2CF9AE}" pid="7" name="MSIP_Label_bb88328d-1296-4270-b00d-ecfae1f4c260_Name">
    <vt:lpwstr>Restreint</vt:lpwstr>
  </property>
  <property fmtid="{D5CDD505-2E9C-101B-9397-08002B2CF9AE}" pid="8" name="MSIP_Label_bb88328d-1296-4270-b00d-ecfae1f4c260_SiteId">
    <vt:lpwstr>008ada3d-53c0-4172-8c56-c5fe0399133e</vt:lpwstr>
  </property>
  <property fmtid="{D5CDD505-2E9C-101B-9397-08002B2CF9AE}" pid="9" name="MSIP_Label_bb88328d-1296-4270-b00d-ecfae1f4c260_ActionId">
    <vt:lpwstr>554461c3-402a-44a7-bad9-089ea87ee245</vt:lpwstr>
  </property>
  <property fmtid="{D5CDD505-2E9C-101B-9397-08002B2CF9AE}" pid="10" name="MSIP_Label_bb88328d-1296-4270-b00d-ecfae1f4c260_ContentBits">
    <vt:lpwstr>0</vt:lpwstr>
  </property>
  <property fmtid="{D5CDD505-2E9C-101B-9397-08002B2CF9AE}" pid="11" name="MSIP_Label_bb88328d-1296-4270-b00d-ecfae1f4c260_Tag">
    <vt:lpwstr>10, 3, 0, 2</vt:lpwstr>
  </property>
</Properties>
</file>